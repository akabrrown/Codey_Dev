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Website - Production" sheetId="2" state="visible" r:id="rId4"/>
    <sheet name="Website - Student" sheetId="3" state="visible" r:id="rId5"/>
    <sheet name="Custom Software - Production" sheetId="4" state="visible" r:id="rId6"/>
    <sheet name="Custom Software - Student" sheetId="5" state="visible" r:id="rId7"/>
    <sheet name="Mobile App - Production" sheetId="6" state="visible" r:id="rId8"/>
    <sheet name="Mobile App - Studen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<sst xmlns="http://schemas.openxmlformats.org/spreadsheetml/2006/main" count="451" uniqueCount="236">
  <si>
    <t xml:space="preserve">Codey Dev — Master Pricing Sheet</t>
  </si>
  <si>
    <t xml:space="preserve">How to use this workbook, and the pricing logic behind every tab</t>
  </si>
  <si>
    <t xml:space="preserve">1. What's in this workbook</t>
  </si>
  <si>
    <t xml:space="preserve">Six pricing tabs, one per service line: Website (Production / Student), Custom Software (Production / Student), and Mobile App (Production / Student). Each tab lists Base Packages, Extra Pages/Features, Integrations, and (where relevant) Maintenance Plans and Add-Ons — with a Price Min, Price Max, and an auto-calculated Suggested Price (the midpoint) for every line item.</t>
  </si>
  <si>
    <t xml:space="preserve">2. How to build a quote from this sheet</t>
  </si>
  <si>
    <t xml:space="preserve">Formula: Estimated Price = ( Base Package + selected Features + selected Integrations ) × (1 + Buffer%) × (1 + Rush%, if applicable).</t>
  </si>
  <si>
    <t xml:space="preserve">Recommended Buffer: 12% on Production projects, to cover revisions and contingency. Recommended Rush multiplier: +25% for Production (client-chosen rush), +25-40% for Student projects (defense dates are usually fixed, not negotiable, so treat them as higher-urgency rush by default).</t>
  </si>
  <si>
    <t xml:space="preserve">3. Why Student pricing is lower than Production</t>
  </si>
  <si>
    <t xml:space="preserve">Student-tier prices run at roughly 35-50% of Production pricing for comparable scope. This reflects: free-tier hosting instead of paid infrastructure, no SLA/compliance overhead, sandbox/test-mode integrations instead of live ones, and typically smaller, single-branch/single-role feature sets built for a defense rather than real-world scale. It is not a discount on quality — the same engineering standard applies, just a smaller scope.</t>
  </si>
  <si>
    <t xml:space="preserve">4. Tech stack reference</t>
  </si>
  <si>
    <t xml:space="preserve">Default web stack: Next.js 15, Supabase (Database/Auth/Storage/RLS), Tailwind CSS 4, shadcn/ui, TanStack Query, Zod, hosted on Vercel. Email: Resend. Media: Cloudinary. Payments: Paystack API. Mobile: React Native or Flutter (cross-platform), with native Kotlin/Swift only if a course or client specifically requires it. Free tiers cover most Student projects entirely; Production projects should budget for paid tiers once traffic/data volume grows — see the 'Tech / Library Notes' column on each tab for which tool applies to which line item.</t>
  </si>
  <si>
    <t xml:space="preserve">5. Editing this sheet</t>
  </si>
  <si>
    <t xml:space="preserve">Edit the Price Min / Price Max columns directly — the Suggested Price column recalculates automatically. The Example calculation block at the bottom of each tab pulls live from specific rows in that tab's table; if you insert or delete rows, double-check those references still point to the intended line items.</t>
  </si>
  <si>
    <t xml:space="preserve">Website Development — Production</t>
  </si>
  <si>
    <t xml:space="preserve">Live business/organization websites — Codey Dev Master Pricing Sheet</t>
  </si>
  <si>
    <t xml:space="preserve">Base Packages (choose one starting point)</t>
  </si>
  <si>
    <t xml:space="preserve">Type</t>
  </si>
  <si>
    <t xml:space="preserve">Item</t>
  </si>
  <si>
    <t xml:space="preserve">Tech / Library Notes</t>
  </si>
  <si>
    <t xml:space="preserve">Price Min (GH₵)</t>
  </si>
  <si>
    <t xml:space="preserve">Price Max (GH₵)</t>
  </si>
  <si>
    <t xml:space="preserve">Suggested Price (GH₵)</t>
  </si>
  <si>
    <t xml:space="preserve">Notes</t>
  </si>
  <si>
    <t xml:space="preserve">Base Package</t>
  </si>
  <si>
    <t xml:space="preserve">Landing / One-Page Website</t>
  </si>
  <si>
    <t xml:space="preserve">Next.js 15, Tailwind CSS 4, shadcn/ui, Vercel</t>
  </si>
  <si>
    <t xml:space="preserve">Single page, mobile responsive, contact form</t>
  </si>
  <si>
    <t xml:space="preserve">Business Website (up to 5 pages)</t>
  </si>
  <si>
    <t xml:space="preserve">Next.js 15, Tailwind CSS 4, shadcn/ui</t>
  </si>
  <si>
    <t xml:space="preserve">Home, About, Services, Gallery, Contact</t>
  </si>
  <si>
    <t xml:space="preserve">Corporate / NGO / School Website (6-12 pages)</t>
  </si>
  <si>
    <t xml:space="preserve">Next.js 15, Supabase (content), Tailwind CSS 4</t>
  </si>
  <si>
    <t xml:space="preserve">Multi-section, staff/programs, news/blog</t>
  </si>
  <si>
    <t xml:space="preserve">E-commerce Website</t>
  </si>
  <si>
    <t xml:space="preserve">Next.js 15, Supabase (DB/Auth), Paystack API, Cloudinary</t>
  </si>
  <si>
    <t xml:space="preserve">Catalog, cart, checkout, order management</t>
  </si>
  <si>
    <t xml:space="preserve">Website Redesign / Revamp</t>
  </si>
  <si>
    <t xml:space="preserve">Next.js 15, Tailwind CSS 4</t>
  </si>
  <si>
    <t xml:space="preserve">Modernizing an existing site</t>
  </si>
  <si>
    <t xml:space="preserve">Extra Pages &amp; Features</t>
  </si>
  <si>
    <t xml:space="preserve">Extra Page</t>
  </si>
  <si>
    <t xml:space="preserve">Additional page beyond base package</t>
  </si>
  <si>
    <t xml:space="preserve">—</t>
  </si>
  <si>
    <t xml:space="preserve">Per page</t>
  </si>
  <si>
    <t xml:space="preserve">Feature</t>
  </si>
  <si>
    <t xml:space="preserve">Contact / lead-capture form</t>
  </si>
  <si>
    <t xml:space="preserve">React Hook Form, Zod, Resend</t>
  </si>
  <si>
    <t xml:space="preserve">Blog / News section</t>
  </si>
  <si>
    <t xml:space="preserve">Next.js 15, Supabase (content)</t>
  </si>
  <si>
    <t xml:space="preserve">Search &amp; filtering</t>
  </si>
  <si>
    <t xml:space="preserve">Supabase full-text search</t>
  </si>
  <si>
    <t xml:space="preserve">Multi-language support</t>
  </si>
  <si>
    <t xml:space="preserve">next-intl or similar</t>
  </si>
  <si>
    <t xml:space="preserve">Newsletter signup</t>
  </si>
  <si>
    <t xml:space="preserve">Resend</t>
  </si>
  <si>
    <t xml:space="preserve">Live chat / WhatsApp widget</t>
  </si>
  <si>
    <t xml:space="preserve">WhatsApp Business API / widget embed</t>
  </si>
  <si>
    <t xml:space="preserve">User accounts / login</t>
  </si>
  <si>
    <t xml:space="preserve">Supabase Auth</t>
  </si>
  <si>
    <t xml:space="preserve">Admin panel (content management)</t>
  </si>
  <si>
    <t xml:space="preserve">Next.js 15, Supabase (RLS)</t>
  </si>
  <si>
    <t xml:space="preserve">Booking / appointment scheduling</t>
  </si>
  <si>
    <t xml:space="preserve">Supabase, TanStack Query</t>
  </si>
  <si>
    <t xml:space="preserve">Analytics / reporting dashboard</t>
  </si>
  <si>
    <t xml:space="preserve">Recharts, Supabase views</t>
  </si>
  <si>
    <t xml:space="preserve">Integrations</t>
  </si>
  <si>
    <t xml:space="preserve">Integration</t>
  </si>
  <si>
    <t xml:space="preserve">Payment gateway (Paystack / Mobile Money)</t>
  </si>
  <si>
    <t xml:space="preserve">Paystack API</t>
  </si>
  <si>
    <t xml:space="preserve">SMS / transactional email service</t>
  </si>
  <si>
    <t xml:space="preserve">Resend, or SMS API</t>
  </si>
  <si>
    <t xml:space="preserve">Third-party API integration</t>
  </si>
  <si>
    <t xml:space="preserve">Varies by API</t>
  </si>
  <si>
    <t xml:space="preserve">CRM / accounting software integration</t>
  </si>
  <si>
    <t xml:space="preserve">Varies (QuickBooks, etc.)</t>
  </si>
  <si>
    <t xml:space="preserve">Maintenance Plans (monthly, recurring)</t>
  </si>
  <si>
    <t xml:space="preserve">Maintenance</t>
  </si>
  <si>
    <t xml:space="preserve">Basic Care</t>
  </si>
  <si>
    <t xml:space="preserve">Uptime monitoring, security updates, monthly backup</t>
  </si>
  <si>
    <t xml:space="preserve">Per month</t>
  </si>
  <si>
    <t xml:space="preserve">Standard Care</t>
  </si>
  <si>
    <t xml:space="preserve">Basic + up to 4 content updates/month</t>
  </si>
  <si>
    <t xml:space="preserve">Premium Care</t>
  </si>
  <si>
    <t xml:space="preserve">Standard + priority support, unlimited minor updates</t>
  </si>
  <si>
    <t xml:space="preserve">Timeline: Standard = base price. Rush (compressed deadline) = +25% on the subtotal below. Buffer of ~12% is already reflected as headroom in the ranges above; apply it explicitly in the example calculation when quoting from itemized line items.</t>
  </si>
  <si>
    <t xml:space="preserve">Example: Business Website + Login + Payment Gateway + Rush</t>
  </si>
  <si>
    <t xml:space="preserve">Selected items subtotal</t>
  </si>
  <si>
    <t xml:space="preserve">+ Buffer (12% contingency/revisions)</t>
  </si>
  <si>
    <t xml:space="preserve">× Rush multiplier (if rushed, +25%)</t>
  </si>
  <si>
    <t xml:space="preserve">Website Development — Student Project</t>
  </si>
  <si>
    <t xml:space="preserve">Final-year / course projects — Codey Dev Master Pricing Sheet</t>
  </si>
  <si>
    <t xml:space="preserve">Simple Informational / Landing Site</t>
  </si>
  <si>
    <t xml:space="preserve">Next.js 15, Tailwind CSS 4, Vercel (free tier)</t>
  </si>
  <si>
    <t xml:space="preserve">Small Web App with Login + CRUD</t>
  </si>
  <si>
    <t xml:space="preserve">Next.js 15, Supabase (free tier)</t>
  </si>
  <si>
    <t xml:space="preserve">Typical final-year scope</t>
  </si>
  <si>
    <t xml:space="preserve">E-commerce / Booking-Style Demo</t>
  </si>
  <si>
    <t xml:space="preserve">Next.js 15, Supabase, Paystack (test mode)</t>
  </si>
  <si>
    <t xml:space="preserve">Complex Capstone System (e.g. school/HR-style)</t>
  </si>
  <si>
    <t xml:space="preserve">Next.js 15, Supabase, Tailwind CSS 4</t>
  </si>
  <si>
    <t xml:space="preserve">Multiple roles, several modules</t>
  </si>
  <si>
    <t xml:space="preserve">Login / authentication</t>
  </si>
  <si>
    <t xml:space="preserve">Admin dashboard</t>
  </si>
  <si>
    <t xml:space="preserve">Next.js 15, Supabase</t>
  </si>
  <si>
    <t xml:space="preserve">Supabase queries</t>
  </si>
  <si>
    <t xml:space="preserve">Reports / charts</t>
  </si>
  <si>
    <t xml:space="preserve">Recharts</t>
  </si>
  <si>
    <t xml:space="preserve">File upload</t>
  </si>
  <si>
    <t xml:space="preserve">Supabase Storage / Cloudinary</t>
  </si>
  <si>
    <t xml:space="preserve">Email notifications</t>
  </si>
  <si>
    <t xml:space="preserve">Integrations (usually sandbox/test mode for defense)</t>
  </si>
  <si>
    <t xml:space="preserve">Payment gateway (test mode)</t>
  </si>
  <si>
    <t xml:space="preserve">Paystack test keys</t>
  </si>
  <si>
    <t xml:space="preserve">Third-party API</t>
  </si>
  <si>
    <t xml:space="preserve">Varies</t>
  </si>
  <si>
    <t xml:space="preserve">Add-Ons</t>
  </si>
  <si>
    <t xml:space="preserve">Add-on</t>
  </si>
  <si>
    <t xml:space="preserve">System diagrams for report (ERD, architecture, DFD)</t>
  </si>
  <si>
    <t xml:space="preserve">Not the written report itself</t>
  </si>
  <si>
    <t xml:space="preserve">Presentation / demo prep session</t>
  </si>
  <si>
    <t xml:space="preserve">Walkthrough before defense</t>
  </si>
  <si>
    <t xml:space="preserve">Student pricing runs at roughly 35-50% of Production pricing for comparable scope, reflecting free-tier hosting, no compliance/SLA overhead, and a smaller typical feature set. Rush multiplier for a fixed defense date is often steeper than business rush — recommend +25% to +40% rather than the standard +25%, since there is no room to negotiate the deadline.</t>
  </si>
  <si>
    <t xml:space="preserve">Example: Small Web App + Login + Admin Dashboard + Rush (+30%)</t>
  </si>
  <si>
    <t xml:space="preserve">× Rush multiplier (if rushed, +30%)</t>
  </si>
  <si>
    <t xml:space="preserve">Custom Software Development — Production</t>
  </si>
  <si>
    <t xml:space="preserve">Live business systems — Codey Dev Master Pricing Sheet</t>
  </si>
  <si>
    <t xml:space="preserve">Base Systems (choose one starting point)</t>
  </si>
  <si>
    <t xml:space="preserve">Base System</t>
  </si>
  <si>
    <t xml:space="preserve">POS (Point of Sale) System</t>
  </si>
  <si>
    <t xml:space="preserve">Next.js 15, Supabase (DB/Auth/RLS), Paystack API</t>
  </si>
  <si>
    <t xml:space="preserve">Sales, receipts, multi-user</t>
  </si>
  <si>
    <t xml:space="preserve">Inventory Management System</t>
  </si>
  <si>
    <t xml:space="preserve">Stock tracking, supplier records</t>
  </si>
  <si>
    <t xml:space="preserve">HR Management System</t>
  </si>
  <si>
    <t xml:space="preserve">Staff, leave, payroll support</t>
  </si>
  <si>
    <t xml:space="preserve">School Management System</t>
  </si>
  <si>
    <t xml:space="preserve">Admissions, results, fees</t>
  </si>
  <si>
    <t xml:space="preserve">Custom / Other Business System</t>
  </si>
  <si>
    <t xml:space="preserve">Scoped after requirements session</t>
  </si>
  <si>
    <t xml:space="preserve">Custom Quote</t>
  </si>
  <si>
    <t xml:space="preserve">Custom Quote — priced per feature set</t>
  </si>
  <si>
    <t xml:space="preserve">Feature Modules</t>
  </si>
  <si>
    <t xml:space="preserve">Multi-branch / multi-location support</t>
  </si>
  <si>
    <t xml:space="preserve">Supabase RLS per branch</t>
  </si>
  <si>
    <t xml:space="preserve">Barcode / QR code scanning</t>
  </si>
  <si>
    <t xml:space="preserve">Browser/device camera API</t>
  </si>
  <si>
    <t xml:space="preserve">Reporting &amp; analytics dashboard</t>
  </si>
  <si>
    <t xml:space="preserve">Role-based access control (multiple roles)</t>
  </si>
  <si>
    <t xml:space="preserve">Supabase Auth + RLS policies</t>
  </si>
  <si>
    <t xml:space="preserve">SMS / email alerts</t>
  </si>
  <si>
    <t xml:space="preserve">Resend, SMS API</t>
  </si>
  <si>
    <t xml:space="preserve">Offline mode with sync</t>
  </si>
  <si>
    <t xml:space="preserve">Local cache + background sync</t>
  </si>
  <si>
    <t xml:space="preserve">Multi-user concurrent access</t>
  </si>
  <si>
    <t xml:space="preserve">Supabase realtime</t>
  </si>
  <si>
    <t xml:space="preserve">Accounting software integration</t>
  </si>
  <si>
    <t xml:space="preserve">SMS gateway</t>
  </si>
  <si>
    <t xml:space="preserve">Biometric / hardware integration</t>
  </si>
  <si>
    <t xml:space="preserve">Fingerprint or card-reader SDK</t>
  </si>
  <si>
    <t xml:space="preserve">Basic + minor updates, monthly report</t>
  </si>
  <si>
    <t xml:space="preserve">Custom software carries higher maintenance pricing than websites, since bugs affect live business operations (sales, payroll, records) rather than just a marketing page. Timeline: Rush = +25% on subtotal.</t>
  </si>
  <si>
    <t xml:space="preserve">Example: POS System + Multi-Branch + Payment Gateway</t>
  </si>
  <si>
    <t xml:space="preserve">Custom Software Development — Student Project</t>
  </si>
  <si>
    <t xml:space="preserve">Base Systems (simplified, single-branch versions)</t>
  </si>
  <si>
    <t xml:space="preserve">POS System (basic)</t>
  </si>
  <si>
    <t xml:space="preserve">Next.js 15, Supabase (free tier), Paystack (test mode)</t>
  </si>
  <si>
    <t xml:space="preserve">Single branch, core sales flow</t>
  </si>
  <si>
    <t xml:space="preserve">Inventory Management (basic)</t>
  </si>
  <si>
    <t xml:space="preserve">HR Management (basic)</t>
  </si>
  <si>
    <t xml:space="preserve">School Management (basic)</t>
  </si>
  <si>
    <t xml:space="preserve">Core modules only</t>
  </si>
  <si>
    <t xml:space="preserve">Custom / Other System</t>
  </si>
  <si>
    <t xml:space="preserve">Role-based access (2-3 roles)</t>
  </si>
  <si>
    <t xml:space="preserve">Supabase Auth + RLS</t>
  </si>
  <si>
    <t xml:space="preserve">Reporting / charts</t>
  </si>
  <si>
    <t xml:space="preserve">Barcode scanning (basic/simulated)</t>
  </si>
  <si>
    <t xml:space="preserve">Camera API</t>
  </si>
  <si>
    <t xml:space="preserve">Integrations (sandbox/test mode)</t>
  </si>
  <si>
    <t xml:space="preserve">SMS gateway (test mode)</t>
  </si>
  <si>
    <t xml:space="preserve">Custom software for a defense typically needs fewer roles and simpler reporting than a live production system — price accordingly. Recommend a hands-on handover session regardless of price, since the student must be able to explain every module.</t>
  </si>
  <si>
    <t xml:space="preserve">Example: Basic POS + Role-Based Access + Rush (+30%)</t>
  </si>
  <si>
    <t xml:space="preserve">Mobile App Development — Production</t>
  </si>
  <si>
    <t xml:space="preserve">Live business apps — Codey Dev Master Pricing Sheet</t>
  </si>
  <si>
    <t xml:space="preserve">Base Packages</t>
  </si>
  <si>
    <t xml:space="preserve">Basic App (single platform: Android or iOS)</t>
  </si>
  <si>
    <t xml:space="preserve">React Native or Flutter</t>
  </si>
  <si>
    <t xml:space="preserve">Up to 6 core screens</t>
  </si>
  <si>
    <t xml:space="preserve">Cross-Platform App (Android + iOS)</t>
  </si>
  <si>
    <t xml:space="preserve">React Native or Flutter, shared codebase</t>
  </si>
  <si>
    <t xml:space="preserve">Up to 10 core screens</t>
  </si>
  <si>
    <t xml:space="preserve">Push notifications</t>
  </si>
  <si>
    <t xml:space="preserve">Firebase Cloud Messaging</t>
  </si>
  <si>
    <t xml:space="preserve">Offline mode</t>
  </si>
  <si>
    <t xml:space="preserve">Local storage + sync</t>
  </si>
  <si>
    <t xml:space="preserve">GPS / Maps</t>
  </si>
  <si>
    <t xml:space="preserve">Google Maps SDK / Mapbox</t>
  </si>
  <si>
    <t xml:space="preserve">Camera / photo upload</t>
  </si>
  <si>
    <t xml:space="preserve">Cloudinary</t>
  </si>
  <si>
    <t xml:space="preserve">Chat / messaging</t>
  </si>
  <si>
    <t xml:space="preserve">Supabase Realtime or Firebase</t>
  </si>
  <si>
    <t xml:space="preserve">In-app payments</t>
  </si>
  <si>
    <t xml:space="preserve">Admin / backend dashboard</t>
  </si>
  <si>
    <t xml:space="preserve">Payment gateway</t>
  </si>
  <si>
    <t xml:space="preserve">Push notification service setup</t>
  </si>
  <si>
    <t xml:space="preserve">Store &amp; Account Costs (client pays directly — pass-through, not Codey Dev's fee)</t>
  </si>
  <si>
    <t xml:space="preserve">Pass-through</t>
  </si>
  <si>
    <t xml:space="preserve">Apple Developer Account</t>
  </si>
  <si>
    <t xml:space="preserve">Required for App Store publishing</t>
  </si>
  <si>
    <t xml:space="preserve">N/A</t>
  </si>
  <si>
    <t xml:space="preserve">~$99/year, billed to client's own Apple account</t>
  </si>
  <si>
    <t xml:space="preserve">Google Play Developer Account</t>
  </si>
  <si>
    <t xml:space="preserve">Required for Play Store publishing</t>
  </si>
  <si>
    <t xml:space="preserve">$25 one-time, billed to client's own Google account</t>
  </si>
  <si>
    <t xml:space="preserve">App Maintenance &amp; Updates</t>
  </si>
  <si>
    <t xml:space="preserve">Bug fixes, OS compatibility, minor features</t>
  </si>
  <si>
    <t xml:space="preserve">Per month, scales with complexity</t>
  </si>
  <si>
    <t xml:space="preserve">Store account fees (Apple/Google) are the client's own recurring cost, not part of Codey Dev's quotation — flag this clearly at quoting time so it isn't mistaken for a hidden fee. Timeline: Rush = +25% on subtotal.</t>
  </si>
  <si>
    <t xml:space="preserve">Example: Cross-Platform App + Push Notifications + Payments</t>
  </si>
  <si>
    <t xml:space="preserve">Mobile App Development — Student Project</t>
  </si>
  <si>
    <t xml:space="preserve">Basic App (single platform, core CRUD)</t>
  </si>
  <si>
    <t xml:space="preserve">Cross-Platform App (if genuinely required)</t>
  </si>
  <si>
    <t xml:space="preserve">Supabase Auth or Firebase Auth</t>
  </si>
  <si>
    <t xml:space="preserve">Device camera + Cloudinary (free tier)</t>
  </si>
  <si>
    <t xml:space="preserve">GPS / Maps (basic)</t>
  </si>
  <si>
    <t xml:space="preserve">Google Maps SDK (free tier)</t>
  </si>
  <si>
    <t xml:space="preserve">Push notifications (basic)</t>
  </si>
  <si>
    <t xml:space="preserve">Firebase Cloud Messaging (free)</t>
  </si>
  <si>
    <t xml:space="preserve">Offline mode (basic caching)</t>
  </si>
  <si>
    <t xml:space="preserve">Local storage</t>
  </si>
  <si>
    <t xml:space="preserve">Connects to existing backend</t>
  </si>
  <si>
    <t xml:space="preserve">Depends on backend provided</t>
  </si>
  <si>
    <t xml:space="preserve">Admin / web dashboard companion</t>
  </si>
  <si>
    <t xml:space="preserve">APK build / demo install support</t>
  </si>
  <si>
    <t xml:space="preserve">Installing on a physical phone for defense</t>
  </si>
  <si>
    <t xml:space="preserve">A Play Store or App Store listing is rarely required for a defense — a working build installed directly on a phone (APK for Android) is usually enough. Only add developer-account costs if the supervisor specifically requires a store listing.</t>
  </si>
  <si>
    <t xml:space="preserve">Example: Basic App + Login + Camera Upload + Rush (+30%)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</si>
</sst>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GH₵&quot;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35C4E0"/>
      <name val="Arial"/>
      <family val="0"/>
      <charset val="1"/>
    </font>
    <font>
      <b val="true"/>
      <sz val="13"/>
      <color rgb="FF0E2338"/>
      <name val="Arial"/>
      <family val="0"/>
      <charset val="1"/>
    </font>
    <font>
      <sz val="11"/>
      <color rgb="FF3A3A3A"/>
      <name val="Arial"/>
      <family val="0"/>
      <charset val="1"/>
    </font>
    <font>
      <b val="true"/>
      <sz val="12"/>
      <color rgb="FF0E233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color rgb="FF3A3A3A"/>
      <name val="Arial"/>
      <family val="0"/>
      <charset val="1"/>
    </font>
    <font>
      <i val="true"/>
      <sz val="10"/>
      <color rgb="FF3A3A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2338"/>
        <bgColor rgb="FF003300"/>
      </patternFill>
    </fill>
    <fill>
      <patternFill patternType="solid">
        <fgColor rgb="FFF2F8FA"/>
        <bgColor rgb="FFE7F6FA"/>
      </patternFill>
    </fill>
    <fill>
      <patternFill patternType="solid">
        <fgColor rgb="FFE7F6FA"/>
        <bgColor rgb="FFF2F8FA"/>
      </patternFill>
    </fill>
    <fill>
      <patternFill patternType="solid">
        <fgColor rgb="FFFDEAE4"/>
        <bgColor rgb="FFF2F8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8FA"/>
      <rgbColor rgb="FFE7F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E4"/>
      <rgbColor rgb="FF99CCFF"/>
      <rgbColor rgb="FFFF99CC"/>
      <rgbColor rgb="FFCC99FF"/>
      <rgbColor rgb="FFFFCC99"/>
      <rgbColor rgb="FF3366FF"/>
      <rgbColor rgb="FF35C4E0"/>
      <rgbColor rgb="FF99CC00"/>
      <rgbColor rgb="FFFFCC00"/>
      <rgbColor rgb="FFFF9900"/>
      <rgbColor rgb="FFFF6600"/>
      <rgbColor rgb="FF666699"/>
      <rgbColor rgb="FF969696"/>
      <rgbColor rgb="FF0E2338"/>
      <rgbColor rgb="FF339966"/>
      <rgbColor rgb="FF003300"/>
      <rgbColor rgb="FF333300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60" hidden="false" customHeight="true" outlineLevel="0" collapsed="false">
      <c r="A6" s="4" t="s">
        <v>3</v>
      </c>
      <c r="B6" s="4"/>
      <c r="C6" s="4"/>
      <c r="D6" s="4"/>
      <c r="E6" s="4"/>
      <c r="F6" s="4"/>
    </row>
    <row r="8" customFormat="false" ht="18" hidden="false" customHeight="true" outlineLevel="0" collapsed="false">
      <c r="A8" s="3" t="s">
        <v>4</v>
      </c>
      <c r="B8" s="3"/>
      <c r="C8" s="3"/>
      <c r="D8" s="3"/>
      <c r="E8" s="3"/>
      <c r="F8" s="3"/>
    </row>
    <row r="10" customFormat="false" ht="30" hidden="false" customHeight="true" outlineLevel="0" collapsed="false">
      <c r="A10" s="4" t="s">
        <v>5</v>
      </c>
      <c r="B10" s="4"/>
      <c r="C10" s="4"/>
      <c r="D10" s="4"/>
      <c r="E10" s="4"/>
      <c r="F10" s="4"/>
    </row>
    <row r="11" customFormat="false" ht="45" hidden="false" customHeight="true" outlineLevel="0" collapsed="false">
      <c r="A11" s="4" t="s">
        <v>6</v>
      </c>
      <c r="B11" s="4"/>
      <c r="C11" s="4"/>
      <c r="D11" s="4"/>
      <c r="E11" s="4"/>
      <c r="F11" s="4"/>
    </row>
    <row r="13" customFormat="false" ht="18" hidden="false" customHeight="true" outlineLevel="0" collapsed="false">
      <c r="A13" s="3" t="s">
        <v>7</v>
      </c>
      <c r="B13" s="3"/>
      <c r="C13" s="3"/>
      <c r="D13" s="3"/>
      <c r="E13" s="3"/>
      <c r="F13" s="3"/>
    </row>
    <row r="15" customFormat="false" ht="75" hidden="false" customHeight="true" outlineLevel="0" collapsed="false">
      <c r="A15" s="4" t="s">
        <v>8</v>
      </c>
      <c r="B15" s="4"/>
      <c r="C15" s="4"/>
      <c r="D15" s="4"/>
      <c r="E15" s="4"/>
      <c r="F15" s="4"/>
    </row>
    <row r="17" customFormat="false" ht="18" hidden="false" customHeight="true" outlineLevel="0" collapsed="false">
      <c r="A17" s="3" t="s">
        <v>9</v>
      </c>
      <c r="B17" s="3"/>
      <c r="C17" s="3"/>
      <c r="D17" s="3"/>
      <c r="E17" s="3"/>
      <c r="F17" s="3"/>
    </row>
    <row r="19" customFormat="false" ht="90" hidden="false" customHeight="true" outlineLevel="0" collapsed="false">
      <c r="A19" s="4" t="s">
        <v>10</v>
      </c>
      <c r="B19" s="4"/>
      <c r="C19" s="4"/>
      <c r="D19" s="4"/>
      <c r="E19" s="4"/>
      <c r="F19" s="4"/>
    </row>
    <row r="21" customFormat="false" ht="18" hidden="false" customHeight="true" outlineLevel="0" collapsed="false">
      <c r="A21" s="3" t="s">
        <v>11</v>
      </c>
      <c r="B21" s="3"/>
      <c r="C21" s="3"/>
      <c r="D21" s="3"/>
      <c r="E21" s="3"/>
      <c r="F21" s="3"/>
    </row>
    <row r="23" customFormat="false" ht="60" hidden="false" customHeight="true" outlineLevel="0" collapsed="false">
      <c r="A23" s="4" t="s">
        <v>12</v>
      </c>
      <c r="B23" s="4"/>
      <c r="C23" s="4"/>
      <c r="D23" s="4"/>
      <c r="E23" s="4"/>
      <c r="F23" s="4"/>
    </row>
  </sheetData>
  <mergeCells count="13">
    <mergeCell ref="A1:F1"/>
    <mergeCell ref="A2:F2"/>
    <mergeCell ref="A4:F4"/>
    <mergeCell ref="A6:F6"/>
    <mergeCell ref="A8:F8"/>
    <mergeCell ref="A10:F10"/>
    <mergeCell ref="A11:F11"/>
    <mergeCell ref="A13:F13"/>
    <mergeCell ref="A15:F15"/>
    <mergeCell ref="A17:F17"/>
    <mergeCell ref="A19:F19"/>
    <mergeCell ref="A21:F21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13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14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5" t="s">
        <v>15</v>
      </c>
    </row>
    <row r="5" customFormat="false" ht="26.85" hidden="false" customHeight="false" outlineLevel="0" collapsed="false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</row>
    <row r="6" customFormat="false" ht="25.35" hidden="false" customHeight="false" outlineLevel="0" collapsed="false">
      <c r="A6" s="7" t="s">
        <v>23</v>
      </c>
      <c r="B6" s="7" t="s">
        <v>24</v>
      </c>
      <c r="C6" s="7" t="s">
        <v>25</v>
      </c>
      <c r="D6" s="7" t="n">
        <v>800</v>
      </c>
      <c r="E6" s="7" t="n">
        <v>1500</v>
      </c>
      <c r="F6" s="8" t="n">
        <f aca="false">IFERROR(ROUND(AVERAGE(D6:E6),-1),"")</f>
        <v>1150</v>
      </c>
      <c r="G6" s="7" t="s">
        <v>26</v>
      </c>
    </row>
    <row r="7" customFormat="false" ht="25.35" hidden="false" customHeight="false" outlineLevel="0" collapsed="false">
      <c r="A7" s="9" t="s">
        <v>23</v>
      </c>
      <c r="B7" s="9" t="s">
        <v>27</v>
      </c>
      <c r="C7" s="9" t="s">
        <v>28</v>
      </c>
      <c r="D7" s="9" t="n">
        <v>2500</v>
      </c>
      <c r="E7" s="9" t="n">
        <v>4000</v>
      </c>
      <c r="F7" s="10" t="n">
        <f aca="false">IFERROR(ROUND(AVERAGE(D7:E7),-1),"")</f>
        <v>3250</v>
      </c>
      <c r="G7" s="9" t="s">
        <v>29</v>
      </c>
    </row>
    <row r="8" customFormat="false" ht="25.35" hidden="false" customHeight="false" outlineLevel="0" collapsed="false">
      <c r="A8" s="7" t="s">
        <v>23</v>
      </c>
      <c r="B8" s="7" t="s">
        <v>30</v>
      </c>
      <c r="C8" s="7" t="s">
        <v>31</v>
      </c>
      <c r="D8" s="7" t="n">
        <v>4000</v>
      </c>
      <c r="E8" s="7" t="n">
        <v>8000</v>
      </c>
      <c r="F8" s="8" t="n">
        <f aca="false">IFERROR(ROUND(AVERAGE(D8:E8),-1),"")</f>
        <v>6000</v>
      </c>
      <c r="G8" s="7" t="s">
        <v>32</v>
      </c>
    </row>
    <row r="9" customFormat="false" ht="25.35" hidden="false" customHeight="false" outlineLevel="0" collapsed="false">
      <c r="A9" s="9" t="s">
        <v>23</v>
      </c>
      <c r="B9" s="9" t="s">
        <v>33</v>
      </c>
      <c r="C9" s="9" t="s">
        <v>34</v>
      </c>
      <c r="D9" s="9" t="n">
        <v>6000</v>
      </c>
      <c r="E9" s="9" t="n">
        <v>12000</v>
      </c>
      <c r="F9" s="10" t="n">
        <f aca="false">IFERROR(ROUND(AVERAGE(D9:E9),-1),"")</f>
        <v>9000</v>
      </c>
      <c r="G9" s="9" t="s">
        <v>35</v>
      </c>
    </row>
    <row r="10" customFormat="false" ht="15" hidden="false" customHeight="false" outlineLevel="0" collapsed="false">
      <c r="A10" s="7" t="s">
        <v>23</v>
      </c>
      <c r="B10" s="7" t="s">
        <v>36</v>
      </c>
      <c r="C10" s="7" t="s">
        <v>37</v>
      </c>
      <c r="D10" s="7" t="n">
        <v>2000</v>
      </c>
      <c r="E10" s="7" t="n">
        <v>5000</v>
      </c>
      <c r="F10" s="8" t="n">
        <f aca="false">IFERROR(ROUND(AVERAGE(D10:E10),-1),"")</f>
        <v>3500</v>
      </c>
      <c r="G10" s="7" t="s">
        <v>38</v>
      </c>
    </row>
    <row r="12" customFormat="false" ht="15" hidden="false" customHeight="false" outlineLevel="0" collapsed="false">
      <c r="A12" s="5" t="s">
        <v>39</v>
      </c>
    </row>
    <row r="13" customFormat="false" ht="25.35" hidden="false" customHeight="false" outlineLevel="0" collapsed="false">
      <c r="A13" s="7" t="s">
        <v>40</v>
      </c>
      <c r="B13" s="7" t="s">
        <v>41</v>
      </c>
      <c r="C13" s="7" t="s">
        <v>42</v>
      </c>
      <c r="D13" s="7" t="n">
        <v>200</v>
      </c>
      <c r="E13" s="7" t="n">
        <v>500</v>
      </c>
      <c r="F13" s="8" t="n">
        <f aca="false">IFERROR(ROUND(AVERAGE(D13:E13),-1),"")</f>
        <v>350</v>
      </c>
      <c r="G13" s="7" t="s">
        <v>43</v>
      </c>
    </row>
    <row r="14" customFormat="false" ht="15" hidden="false" customHeight="false" outlineLevel="0" collapsed="false">
      <c r="A14" s="9" t="s">
        <v>44</v>
      </c>
      <c r="B14" s="9" t="s">
        <v>45</v>
      </c>
      <c r="C14" s="9" t="s">
        <v>46</v>
      </c>
      <c r="D14" s="9" t="n">
        <v>200</v>
      </c>
      <c r="E14" s="9" t="n">
        <v>400</v>
      </c>
      <c r="F14" s="10" t="n">
        <f aca="false">IFERROR(ROUND(AVERAGE(D14:E14),-1),"")</f>
        <v>300</v>
      </c>
      <c r="G14" s="9"/>
    </row>
    <row r="15" customFormat="false" ht="15" hidden="false" customHeight="false" outlineLevel="0" collapsed="false">
      <c r="A15" s="7" t="s">
        <v>44</v>
      </c>
      <c r="B15" s="7" t="s">
        <v>47</v>
      </c>
      <c r="C15" s="7" t="s">
        <v>48</v>
      </c>
      <c r="D15" s="7" t="n">
        <v>800</v>
      </c>
      <c r="E15" s="7" t="n">
        <v>1500</v>
      </c>
      <c r="F15" s="8" t="n">
        <f aca="false">IFERROR(ROUND(AVERAGE(D15:E15),-1),"")</f>
        <v>1150</v>
      </c>
      <c r="G15" s="7"/>
    </row>
    <row r="16" customFormat="false" ht="15" hidden="false" customHeight="false" outlineLevel="0" collapsed="false">
      <c r="A16" s="9" t="s">
        <v>44</v>
      </c>
      <c r="B16" s="9" t="s">
        <v>49</v>
      </c>
      <c r="C16" s="9" t="s">
        <v>50</v>
      </c>
      <c r="D16" s="9" t="n">
        <v>400</v>
      </c>
      <c r="E16" s="9" t="n">
        <v>800</v>
      </c>
      <c r="F16" s="10" t="n">
        <f aca="false">IFERROR(ROUND(AVERAGE(D16:E16),-1),"")</f>
        <v>600</v>
      </c>
      <c r="G16" s="9"/>
    </row>
    <row r="17" customFormat="false" ht="15" hidden="false" customHeight="false" outlineLevel="0" collapsed="false">
      <c r="A17" s="7" t="s">
        <v>44</v>
      </c>
      <c r="B17" s="7" t="s">
        <v>51</v>
      </c>
      <c r="C17" s="7" t="s">
        <v>52</v>
      </c>
      <c r="D17" s="7" t="n">
        <v>1000</v>
      </c>
      <c r="E17" s="7" t="n">
        <v>2000</v>
      </c>
      <c r="F17" s="8" t="n">
        <f aca="false">IFERROR(ROUND(AVERAGE(D17:E17),-1),"")</f>
        <v>1500</v>
      </c>
      <c r="G17" s="7"/>
    </row>
    <row r="18" customFormat="false" ht="15" hidden="false" customHeight="false" outlineLevel="0" collapsed="false">
      <c r="A18" s="9" t="s">
        <v>44</v>
      </c>
      <c r="B18" s="9" t="s">
        <v>53</v>
      </c>
      <c r="C18" s="9" t="s">
        <v>54</v>
      </c>
      <c r="D18" s="9" t="n">
        <v>200</v>
      </c>
      <c r="E18" s="9" t="n">
        <v>400</v>
      </c>
      <c r="F18" s="10" t="n">
        <f aca="false">IFERROR(ROUND(AVERAGE(D18:E18),-1),"")</f>
        <v>300</v>
      </c>
      <c r="G18" s="9"/>
    </row>
    <row r="19" customFormat="false" ht="15" hidden="false" customHeight="false" outlineLevel="0" collapsed="false">
      <c r="A19" s="7" t="s">
        <v>44</v>
      </c>
      <c r="B19" s="7" t="s">
        <v>55</v>
      </c>
      <c r="C19" s="7" t="s">
        <v>56</v>
      </c>
      <c r="D19" s="7" t="n">
        <v>300</v>
      </c>
      <c r="E19" s="7" t="n">
        <v>600</v>
      </c>
      <c r="F19" s="8" t="n">
        <f aca="false">IFERROR(ROUND(AVERAGE(D19:E19),-1),"")</f>
        <v>450</v>
      </c>
      <c r="G19" s="7"/>
    </row>
    <row r="20" customFormat="false" ht="15" hidden="false" customHeight="false" outlineLevel="0" collapsed="false">
      <c r="A20" s="9" t="s">
        <v>44</v>
      </c>
      <c r="B20" s="9" t="s">
        <v>57</v>
      </c>
      <c r="C20" s="9" t="s">
        <v>58</v>
      </c>
      <c r="D20" s="9" t="n">
        <v>1500</v>
      </c>
      <c r="E20" s="9" t="n">
        <v>3000</v>
      </c>
      <c r="F20" s="10" t="n">
        <f aca="false">IFERROR(ROUND(AVERAGE(D20:E20),-1),"")</f>
        <v>2250</v>
      </c>
      <c r="G20" s="9"/>
    </row>
    <row r="21" customFormat="false" ht="25.35" hidden="false" customHeight="false" outlineLevel="0" collapsed="false">
      <c r="A21" s="7" t="s">
        <v>44</v>
      </c>
      <c r="B21" s="7" t="s">
        <v>59</v>
      </c>
      <c r="C21" s="7" t="s">
        <v>60</v>
      </c>
      <c r="D21" s="7" t="n">
        <v>2000</v>
      </c>
      <c r="E21" s="7" t="n">
        <v>4000</v>
      </c>
      <c r="F21" s="8" t="n">
        <f aca="false">IFERROR(ROUND(AVERAGE(D21:E21),-1),"")</f>
        <v>3000</v>
      </c>
      <c r="G21" s="7"/>
    </row>
    <row r="22" customFormat="false" ht="15" hidden="false" customHeight="false" outlineLevel="0" collapsed="false">
      <c r="A22" s="9" t="s">
        <v>44</v>
      </c>
      <c r="B22" s="9" t="s">
        <v>61</v>
      </c>
      <c r="C22" s="9" t="s">
        <v>62</v>
      </c>
      <c r="D22" s="9" t="n">
        <v>2500</v>
      </c>
      <c r="E22" s="9" t="n">
        <v>5000</v>
      </c>
      <c r="F22" s="10" t="n">
        <f aca="false">IFERROR(ROUND(AVERAGE(D22:E22),-1),"")</f>
        <v>3750</v>
      </c>
      <c r="G22" s="9"/>
    </row>
    <row r="23" customFormat="false" ht="15" hidden="false" customHeight="false" outlineLevel="0" collapsed="false">
      <c r="A23" s="7" t="s">
        <v>44</v>
      </c>
      <c r="B23" s="7" t="s">
        <v>63</v>
      </c>
      <c r="C23" s="7" t="s">
        <v>64</v>
      </c>
      <c r="D23" s="7" t="n">
        <v>1500</v>
      </c>
      <c r="E23" s="7" t="n">
        <v>3000</v>
      </c>
      <c r="F23" s="8" t="n">
        <f aca="false">IFERROR(ROUND(AVERAGE(D23:E23),-1),"")</f>
        <v>2250</v>
      </c>
      <c r="G23" s="7"/>
    </row>
    <row r="25" customFormat="false" ht="15" hidden="false" customHeight="false" outlineLevel="0" collapsed="false">
      <c r="A25" s="5" t="s">
        <v>65</v>
      </c>
    </row>
    <row r="26" customFormat="false" ht="25.35" hidden="false" customHeight="false" outlineLevel="0" collapsed="false">
      <c r="A26" s="7" t="s">
        <v>66</v>
      </c>
      <c r="B26" s="7" t="s">
        <v>67</v>
      </c>
      <c r="C26" s="7" t="s">
        <v>68</v>
      </c>
      <c r="D26" s="7" t="n">
        <v>800</v>
      </c>
      <c r="E26" s="7" t="n">
        <v>1600</v>
      </c>
      <c r="F26" s="8" t="n">
        <f aca="false">IFERROR(ROUND(AVERAGE(D26:E26),-1),"")</f>
        <v>1200</v>
      </c>
      <c r="G26" s="7"/>
    </row>
    <row r="27" customFormat="false" ht="15" hidden="false" customHeight="false" outlineLevel="0" collapsed="false">
      <c r="A27" s="9" t="s">
        <v>66</v>
      </c>
      <c r="B27" s="9" t="s">
        <v>69</v>
      </c>
      <c r="C27" s="9" t="s">
        <v>70</v>
      </c>
      <c r="D27" s="9" t="n">
        <v>300</v>
      </c>
      <c r="E27" s="9" t="n">
        <v>600</v>
      </c>
      <c r="F27" s="10" t="n">
        <f aca="false">IFERROR(ROUND(AVERAGE(D27:E27),-1),"")</f>
        <v>450</v>
      </c>
      <c r="G27" s="9"/>
    </row>
    <row r="28" customFormat="false" ht="15" hidden="false" customHeight="false" outlineLevel="0" collapsed="false">
      <c r="A28" s="7" t="s">
        <v>66</v>
      </c>
      <c r="B28" s="7" t="s">
        <v>71</v>
      </c>
      <c r="C28" s="7" t="s">
        <v>72</v>
      </c>
      <c r="D28" s="7" t="n">
        <v>600</v>
      </c>
      <c r="E28" s="7" t="n">
        <v>1500</v>
      </c>
      <c r="F28" s="8" t="n">
        <f aca="false">IFERROR(ROUND(AVERAGE(D28:E28),-1),"")</f>
        <v>1050</v>
      </c>
      <c r="G28" s="7"/>
    </row>
    <row r="29" customFormat="false" ht="25.35" hidden="false" customHeight="false" outlineLevel="0" collapsed="false">
      <c r="A29" s="9" t="s">
        <v>66</v>
      </c>
      <c r="B29" s="9" t="s">
        <v>73</v>
      </c>
      <c r="C29" s="9" t="s">
        <v>74</v>
      </c>
      <c r="D29" s="9" t="n">
        <v>1000</v>
      </c>
      <c r="E29" s="9" t="n">
        <v>2500</v>
      </c>
      <c r="F29" s="10" t="n">
        <f aca="false">IFERROR(ROUND(AVERAGE(D29:E29),-1),"")</f>
        <v>1750</v>
      </c>
      <c r="G29" s="9"/>
    </row>
    <row r="31" customFormat="false" ht="15" hidden="false" customHeight="false" outlineLevel="0" collapsed="false">
      <c r="A31" s="5" t="s">
        <v>75</v>
      </c>
    </row>
    <row r="32" customFormat="false" ht="25.35" hidden="false" customHeight="false" outlineLevel="0" collapsed="false">
      <c r="A32" s="7" t="s">
        <v>76</v>
      </c>
      <c r="B32" s="7" t="s">
        <v>77</v>
      </c>
      <c r="C32" s="7" t="s">
        <v>78</v>
      </c>
      <c r="D32" s="7" t="n">
        <v>300</v>
      </c>
      <c r="E32" s="7" t="n">
        <v>500</v>
      </c>
      <c r="F32" s="8" t="n">
        <f aca="false">IFERROR(ROUND(AVERAGE(D32:E32),-1),"")</f>
        <v>400</v>
      </c>
      <c r="G32" s="7" t="s">
        <v>79</v>
      </c>
    </row>
    <row r="33" customFormat="false" ht="15" hidden="false" customHeight="false" outlineLevel="0" collapsed="false">
      <c r="A33" s="9" t="s">
        <v>76</v>
      </c>
      <c r="B33" s="9" t="s">
        <v>80</v>
      </c>
      <c r="C33" s="9" t="s">
        <v>81</v>
      </c>
      <c r="D33" s="9" t="n">
        <v>600</v>
      </c>
      <c r="E33" s="9" t="n">
        <v>1000</v>
      </c>
      <c r="F33" s="10" t="n">
        <f aca="false">IFERROR(ROUND(AVERAGE(D33:E33),-1),"")</f>
        <v>800</v>
      </c>
      <c r="G33" s="9" t="s">
        <v>79</v>
      </c>
    </row>
    <row r="34" customFormat="false" ht="25.35" hidden="false" customHeight="false" outlineLevel="0" collapsed="false">
      <c r="A34" s="7" t="s">
        <v>76</v>
      </c>
      <c r="B34" s="7" t="s">
        <v>82</v>
      </c>
      <c r="C34" s="7" t="s">
        <v>83</v>
      </c>
      <c r="D34" s="7" t="n">
        <v>1200</v>
      </c>
      <c r="E34" s="7" t="n">
        <v>2000</v>
      </c>
      <c r="F34" s="8" t="n">
        <f aca="false">IFERROR(ROUND(AVERAGE(D34:E34),-1),"")</f>
        <v>1600</v>
      </c>
      <c r="G34" s="7" t="s">
        <v>79</v>
      </c>
    </row>
    <row r="36" customFormat="false" ht="30" hidden="false" customHeight="true" outlineLevel="0" collapsed="false">
      <c r="A36" s="11" t="s">
        <v>84</v>
      </c>
      <c r="B36" s="11"/>
      <c r="C36" s="11"/>
      <c r="D36" s="11"/>
      <c r="E36" s="11"/>
      <c r="F36" s="11"/>
      <c r="G36" s="11"/>
    </row>
    <row r="38" customFormat="false" ht="15" hidden="false" customHeight="false" outlineLevel="0" collapsed="false">
      <c r="A38" s="12" t="s">
        <v>85</v>
      </c>
      <c r="B38" s="12"/>
      <c r="C38" s="12"/>
      <c r="D38" s="12"/>
      <c r="E38" s="12"/>
      <c r="F38" s="12"/>
    </row>
    <row r="39" customFormat="false" ht="15" hidden="false" customHeight="true" outlineLevel="0" collapsed="false">
      <c r="A39" s="13" t="s">
        <v>86</v>
      </c>
      <c r="B39" s="13"/>
      <c r="C39" s="13"/>
      <c r="D39" s="14" t="n">
        <f aca="false">F6+F20+F26</f>
        <v>4600</v>
      </c>
    </row>
    <row r="40" customFormat="false" ht="15" hidden="false" customHeight="true" outlineLevel="0" collapsed="false">
      <c r="A40" s="13" t="s">
        <v>87</v>
      </c>
      <c r="B40" s="13"/>
      <c r="C40" s="13"/>
      <c r="D40" s="14" t="n">
        <f aca="false">D39*(1+0.12)</f>
        <v>5152</v>
      </c>
    </row>
    <row r="41" customFormat="false" ht="15" hidden="false" customHeight="true" outlineLevel="0" collapsed="false">
      <c r="A41" s="13" t="s">
        <v>88</v>
      </c>
      <c r="B41" s="13"/>
      <c r="C41" s="13"/>
      <c r="D41" s="14" t="n">
        <f aca="false">D40*(1+0.25)</f>
        <v>6440</v>
      </c>
    </row>
  </sheetData>
  <mergeCells count="7">
    <mergeCell ref="A1:G1"/>
    <mergeCell ref="A2:G2"/>
    <mergeCell ref="A36:G36"/>
    <mergeCell ref="A38:F38"/>
    <mergeCell ref="A39:C39"/>
    <mergeCell ref="A40:C40"/>
    <mergeCell ref="A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89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90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5" t="s">
        <v>15</v>
      </c>
    </row>
    <row r="5" customFormat="false" ht="26.85" hidden="false" customHeight="false" outlineLevel="0" collapsed="false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</row>
    <row r="6" customFormat="false" ht="25.35" hidden="false" customHeight="false" outlineLevel="0" collapsed="false">
      <c r="A6" s="7" t="s">
        <v>23</v>
      </c>
      <c r="B6" s="7" t="s">
        <v>91</v>
      </c>
      <c r="C6" s="7" t="s">
        <v>92</v>
      </c>
      <c r="D6" s="7" t="n">
        <v>400</v>
      </c>
      <c r="E6" s="7" t="n">
        <v>800</v>
      </c>
      <c r="F6" s="8" t="n">
        <f aca="false">IFERROR(ROUND(AVERAGE(D6:E6),-1),"")</f>
        <v>600</v>
      </c>
      <c r="G6" s="7"/>
    </row>
    <row r="7" customFormat="false" ht="25.35" hidden="false" customHeight="false" outlineLevel="0" collapsed="false">
      <c r="A7" s="9" t="s">
        <v>23</v>
      </c>
      <c r="B7" s="9" t="s">
        <v>93</v>
      </c>
      <c r="C7" s="9" t="s">
        <v>94</v>
      </c>
      <c r="D7" s="9" t="n">
        <v>1500</v>
      </c>
      <c r="E7" s="9" t="n">
        <v>3000</v>
      </c>
      <c r="F7" s="10" t="n">
        <f aca="false">IFERROR(ROUND(AVERAGE(D7:E7),-1),"")</f>
        <v>2250</v>
      </c>
      <c r="G7" s="9" t="s">
        <v>95</v>
      </c>
    </row>
    <row r="8" customFormat="false" ht="25.35" hidden="false" customHeight="false" outlineLevel="0" collapsed="false">
      <c r="A8" s="7" t="s">
        <v>23</v>
      </c>
      <c r="B8" s="7" t="s">
        <v>96</v>
      </c>
      <c r="C8" s="7" t="s">
        <v>97</v>
      </c>
      <c r="D8" s="7" t="n">
        <v>2500</v>
      </c>
      <c r="E8" s="7" t="n">
        <v>4500</v>
      </c>
      <c r="F8" s="8" t="n">
        <f aca="false">IFERROR(ROUND(AVERAGE(D8:E8),-1),"")</f>
        <v>3500</v>
      </c>
      <c r="G8" s="7"/>
    </row>
    <row r="9" customFormat="false" ht="25.35" hidden="false" customHeight="false" outlineLevel="0" collapsed="false">
      <c r="A9" s="9" t="s">
        <v>23</v>
      </c>
      <c r="B9" s="9" t="s">
        <v>98</v>
      </c>
      <c r="C9" s="9" t="s">
        <v>99</v>
      </c>
      <c r="D9" s="9" t="n">
        <v>3500</v>
      </c>
      <c r="E9" s="9" t="n">
        <v>6000</v>
      </c>
      <c r="F9" s="10" t="n">
        <f aca="false">IFERROR(ROUND(AVERAGE(D9:E9),-1),"")</f>
        <v>4750</v>
      </c>
      <c r="G9" s="9" t="s">
        <v>100</v>
      </c>
    </row>
    <row r="11" customFormat="false" ht="15" hidden="false" customHeight="false" outlineLevel="0" collapsed="false">
      <c r="A11" s="5" t="s">
        <v>39</v>
      </c>
    </row>
    <row r="12" customFormat="false" ht="25.35" hidden="false" customHeight="false" outlineLevel="0" collapsed="false">
      <c r="A12" s="7" t="s">
        <v>40</v>
      </c>
      <c r="B12" s="7" t="s">
        <v>41</v>
      </c>
      <c r="C12" s="7" t="s">
        <v>42</v>
      </c>
      <c r="D12" s="7" t="n">
        <v>100</v>
      </c>
      <c r="E12" s="7" t="n">
        <v>250</v>
      </c>
      <c r="F12" s="8" t="n">
        <f aca="false">IFERROR(ROUND(AVERAGE(D12:E12),-1),"")</f>
        <v>180</v>
      </c>
      <c r="G12" s="7" t="s">
        <v>43</v>
      </c>
    </row>
    <row r="13" customFormat="false" ht="15" hidden="false" customHeight="false" outlineLevel="0" collapsed="false">
      <c r="A13" s="9" t="s">
        <v>44</v>
      </c>
      <c r="B13" s="9" t="s">
        <v>101</v>
      </c>
      <c r="C13" s="9" t="s">
        <v>58</v>
      </c>
      <c r="D13" s="9" t="n">
        <v>500</v>
      </c>
      <c r="E13" s="9" t="n">
        <v>900</v>
      </c>
      <c r="F13" s="10" t="n">
        <f aca="false">IFERROR(ROUND(AVERAGE(D13:E13),-1),"")</f>
        <v>700</v>
      </c>
      <c r="G13" s="9"/>
    </row>
    <row r="14" customFormat="false" ht="15" hidden="false" customHeight="false" outlineLevel="0" collapsed="false">
      <c r="A14" s="7" t="s">
        <v>44</v>
      </c>
      <c r="B14" s="7" t="s">
        <v>102</v>
      </c>
      <c r="C14" s="7" t="s">
        <v>103</v>
      </c>
      <c r="D14" s="7" t="n">
        <v>800</v>
      </c>
      <c r="E14" s="7" t="n">
        <v>1500</v>
      </c>
      <c r="F14" s="8" t="n">
        <f aca="false">IFERROR(ROUND(AVERAGE(D14:E14),-1),"")</f>
        <v>1150</v>
      </c>
      <c r="G14" s="7"/>
    </row>
    <row r="15" customFormat="false" ht="15" hidden="false" customHeight="false" outlineLevel="0" collapsed="false">
      <c r="A15" s="9" t="s">
        <v>44</v>
      </c>
      <c r="B15" s="9" t="s">
        <v>49</v>
      </c>
      <c r="C15" s="9" t="s">
        <v>104</v>
      </c>
      <c r="D15" s="9" t="n">
        <v>200</v>
      </c>
      <c r="E15" s="9" t="n">
        <v>400</v>
      </c>
      <c r="F15" s="10" t="n">
        <f aca="false">IFERROR(ROUND(AVERAGE(D15:E15),-1),"")</f>
        <v>300</v>
      </c>
      <c r="G15" s="9"/>
    </row>
    <row r="16" customFormat="false" ht="15" hidden="false" customHeight="false" outlineLevel="0" collapsed="false">
      <c r="A16" s="7" t="s">
        <v>44</v>
      </c>
      <c r="B16" s="7" t="s">
        <v>105</v>
      </c>
      <c r="C16" s="7" t="s">
        <v>106</v>
      </c>
      <c r="D16" s="7" t="n">
        <v>500</v>
      </c>
      <c r="E16" s="7" t="n">
        <v>1000</v>
      </c>
      <c r="F16" s="8" t="n">
        <f aca="false">IFERROR(ROUND(AVERAGE(D16:E16),-1),"")</f>
        <v>750</v>
      </c>
      <c r="G16" s="7"/>
    </row>
    <row r="17" customFormat="false" ht="15" hidden="false" customHeight="false" outlineLevel="0" collapsed="false">
      <c r="A17" s="9" t="s">
        <v>44</v>
      </c>
      <c r="B17" s="9" t="s">
        <v>107</v>
      </c>
      <c r="C17" s="9" t="s">
        <v>108</v>
      </c>
      <c r="D17" s="9" t="n">
        <v>200</v>
      </c>
      <c r="E17" s="9" t="n">
        <v>400</v>
      </c>
      <c r="F17" s="10" t="n">
        <f aca="false">IFERROR(ROUND(AVERAGE(D17:E17),-1),"")</f>
        <v>300</v>
      </c>
      <c r="G17" s="9"/>
    </row>
    <row r="18" customFormat="false" ht="15" hidden="false" customHeight="false" outlineLevel="0" collapsed="false">
      <c r="A18" s="7" t="s">
        <v>44</v>
      </c>
      <c r="B18" s="7" t="s">
        <v>109</v>
      </c>
      <c r="C18" s="7" t="s">
        <v>54</v>
      </c>
      <c r="D18" s="7" t="n">
        <v>200</v>
      </c>
      <c r="E18" s="7" t="n">
        <v>400</v>
      </c>
      <c r="F18" s="8" t="n">
        <f aca="false">IFERROR(ROUND(AVERAGE(D18:E18),-1),"")</f>
        <v>300</v>
      </c>
      <c r="G18" s="7"/>
    </row>
    <row r="20" customFormat="false" ht="15" hidden="false" customHeight="false" outlineLevel="0" collapsed="false">
      <c r="A20" s="5" t="s">
        <v>110</v>
      </c>
    </row>
    <row r="21" customFormat="false" ht="15" hidden="false" customHeight="false" outlineLevel="0" collapsed="false">
      <c r="A21" s="7" t="s">
        <v>66</v>
      </c>
      <c r="B21" s="7" t="s">
        <v>111</v>
      </c>
      <c r="C21" s="7" t="s">
        <v>112</v>
      </c>
      <c r="D21" s="7" t="n">
        <v>400</v>
      </c>
      <c r="E21" s="7" t="n">
        <v>800</v>
      </c>
      <c r="F21" s="8" t="n">
        <f aca="false">IFERROR(ROUND(AVERAGE(D21:E21),-1),"")</f>
        <v>600</v>
      </c>
      <c r="G21" s="7"/>
    </row>
    <row r="22" customFormat="false" ht="15" hidden="false" customHeight="false" outlineLevel="0" collapsed="false">
      <c r="A22" s="9" t="s">
        <v>66</v>
      </c>
      <c r="B22" s="9" t="s">
        <v>113</v>
      </c>
      <c r="C22" s="9" t="s">
        <v>114</v>
      </c>
      <c r="D22" s="9" t="n">
        <v>300</v>
      </c>
      <c r="E22" s="9" t="n">
        <v>800</v>
      </c>
      <c r="F22" s="10" t="n">
        <f aca="false">IFERROR(ROUND(AVERAGE(D22:E22),-1),"")</f>
        <v>550</v>
      </c>
      <c r="G22" s="9"/>
    </row>
    <row r="24" customFormat="false" ht="15" hidden="false" customHeight="false" outlineLevel="0" collapsed="false">
      <c r="A24" s="5" t="s">
        <v>115</v>
      </c>
    </row>
    <row r="25" customFormat="false" ht="25.35" hidden="false" customHeight="false" outlineLevel="0" collapsed="false">
      <c r="A25" s="7" t="s">
        <v>116</v>
      </c>
      <c r="B25" s="7" t="s">
        <v>117</v>
      </c>
      <c r="C25" s="7" t="s">
        <v>42</v>
      </c>
      <c r="D25" s="7" t="n">
        <v>300</v>
      </c>
      <c r="E25" s="7" t="n">
        <v>600</v>
      </c>
      <c r="F25" s="8" t="n">
        <f aca="false">IFERROR(ROUND(AVERAGE(D25:E25),-1),"")</f>
        <v>450</v>
      </c>
      <c r="G25" s="7" t="s">
        <v>118</v>
      </c>
    </row>
    <row r="26" customFormat="false" ht="15" hidden="false" customHeight="false" outlineLevel="0" collapsed="false">
      <c r="A26" s="9" t="s">
        <v>116</v>
      </c>
      <c r="B26" s="9" t="s">
        <v>119</v>
      </c>
      <c r="C26" s="9" t="s">
        <v>42</v>
      </c>
      <c r="D26" s="9" t="n">
        <v>200</v>
      </c>
      <c r="E26" s="9" t="n">
        <v>400</v>
      </c>
      <c r="F26" s="10" t="n">
        <f aca="false">IFERROR(ROUND(AVERAGE(D26:E26),-1),"")</f>
        <v>300</v>
      </c>
      <c r="G26" s="9" t="s">
        <v>120</v>
      </c>
    </row>
    <row r="28" customFormat="false" ht="30" hidden="false" customHeight="true" outlineLevel="0" collapsed="false">
      <c r="A28" s="15" t="s">
        <v>121</v>
      </c>
      <c r="B28" s="15"/>
      <c r="C28" s="15"/>
      <c r="D28" s="15"/>
      <c r="E28" s="15"/>
      <c r="F28" s="15"/>
      <c r="G28" s="15"/>
    </row>
    <row r="30" customFormat="false" ht="15" hidden="false" customHeight="false" outlineLevel="0" collapsed="false">
      <c r="A30" s="12" t="s">
        <v>122</v>
      </c>
      <c r="B30" s="12"/>
      <c r="C30" s="12"/>
      <c r="D30" s="12"/>
      <c r="E30" s="12"/>
      <c r="F30" s="12"/>
    </row>
    <row r="31" customFormat="false" ht="15" hidden="false" customHeight="true" outlineLevel="0" collapsed="false">
      <c r="A31" s="13" t="s">
        <v>86</v>
      </c>
      <c r="B31" s="13"/>
      <c r="C31" s="13"/>
      <c r="D31" s="14" t="n">
        <f aca="false">F7+F13+F14</f>
        <v>4100</v>
      </c>
    </row>
    <row r="32" customFormat="false" ht="15" hidden="false" customHeight="true" outlineLevel="0" collapsed="false">
      <c r="A32" s="13" t="s">
        <v>87</v>
      </c>
      <c r="B32" s="13"/>
      <c r="C32" s="13"/>
      <c r="D32" s="14" t="n">
        <f aca="false">D31*(1+0.12)</f>
        <v>4592</v>
      </c>
    </row>
    <row r="33" customFormat="false" ht="15" hidden="false" customHeight="true" outlineLevel="0" collapsed="false">
      <c r="A33" s="13" t="s">
        <v>123</v>
      </c>
      <c r="B33" s="13"/>
      <c r="C33" s="13"/>
      <c r="D33" s="14" t="n">
        <f aca="false">D32*(1+0.3)</f>
        <v>5969.6</v>
      </c>
    </row>
  </sheetData>
  <mergeCells count="7">
    <mergeCell ref="A1:G1"/>
    <mergeCell ref="A2:G2"/>
    <mergeCell ref="A28:G28"/>
    <mergeCell ref="A30:F30"/>
    <mergeCell ref="A31:C31"/>
    <mergeCell ref="A32:C32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125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5" t="s">
        <v>126</v>
      </c>
    </row>
    <row r="5" customFormat="false" ht="26.85" hidden="false" customHeight="false" outlineLevel="0" collapsed="false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</row>
    <row r="6" customFormat="false" ht="25.35" hidden="false" customHeight="false" outlineLevel="0" collapsed="false">
      <c r="A6" s="7" t="s">
        <v>127</v>
      </c>
      <c r="B6" s="7" t="s">
        <v>128</v>
      </c>
      <c r="C6" s="7" t="s">
        <v>129</v>
      </c>
      <c r="D6" s="7" t="n">
        <v>8000</v>
      </c>
      <c r="E6" s="7" t="n">
        <v>20000</v>
      </c>
      <c r="F6" s="8" t="n">
        <f aca="false">IFERROR(ROUND(AVERAGE(D6:E6),-1),"")</f>
        <v>14000</v>
      </c>
      <c r="G6" s="7" t="s">
        <v>130</v>
      </c>
    </row>
    <row r="7" customFormat="false" ht="15" hidden="false" customHeight="false" outlineLevel="0" collapsed="false">
      <c r="A7" s="9" t="s">
        <v>127</v>
      </c>
      <c r="B7" s="9" t="s">
        <v>131</v>
      </c>
      <c r="C7" s="9" t="s">
        <v>103</v>
      </c>
      <c r="D7" s="9" t="n">
        <v>6000</v>
      </c>
      <c r="E7" s="9" t="n">
        <v>15000</v>
      </c>
      <c r="F7" s="10" t="n">
        <f aca="false">IFERROR(ROUND(AVERAGE(D7:E7),-1),"")</f>
        <v>10500</v>
      </c>
      <c r="G7" s="9" t="s">
        <v>132</v>
      </c>
    </row>
    <row r="8" customFormat="false" ht="15" hidden="false" customHeight="false" outlineLevel="0" collapsed="false">
      <c r="A8" s="7" t="s">
        <v>127</v>
      </c>
      <c r="B8" s="7" t="s">
        <v>133</v>
      </c>
      <c r="C8" s="7" t="s">
        <v>103</v>
      </c>
      <c r="D8" s="7" t="n">
        <v>8000</v>
      </c>
      <c r="E8" s="7" t="n">
        <v>18000</v>
      </c>
      <c r="F8" s="8" t="n">
        <f aca="false">IFERROR(ROUND(AVERAGE(D8:E8),-1),"")</f>
        <v>13000</v>
      </c>
      <c r="G8" s="7" t="s">
        <v>134</v>
      </c>
    </row>
    <row r="9" customFormat="false" ht="15" hidden="false" customHeight="false" outlineLevel="0" collapsed="false">
      <c r="A9" s="9" t="s">
        <v>127</v>
      </c>
      <c r="B9" s="9" t="s">
        <v>135</v>
      </c>
      <c r="C9" s="9" t="s">
        <v>103</v>
      </c>
      <c r="D9" s="9" t="n">
        <v>10000</v>
      </c>
      <c r="E9" s="9" t="n">
        <v>25000</v>
      </c>
      <c r="F9" s="10" t="n">
        <f aca="false">IFERROR(ROUND(AVERAGE(D9:E9),-1),"")</f>
        <v>17500</v>
      </c>
      <c r="G9" s="9" t="s">
        <v>136</v>
      </c>
    </row>
    <row r="10" customFormat="false" ht="25.35" hidden="false" customHeight="false" outlineLevel="0" collapsed="false">
      <c r="A10" s="7" t="s">
        <v>127</v>
      </c>
      <c r="B10" s="7" t="s">
        <v>137</v>
      </c>
      <c r="C10" s="7" t="s">
        <v>138</v>
      </c>
      <c r="D10" s="7"/>
      <c r="E10" s="7"/>
      <c r="F10" s="7" t="s">
        <v>139</v>
      </c>
      <c r="G10" s="7" t="s">
        <v>140</v>
      </c>
    </row>
    <row r="12" customFormat="false" ht="15" hidden="false" customHeight="false" outlineLevel="0" collapsed="false">
      <c r="A12" s="5" t="s">
        <v>141</v>
      </c>
    </row>
    <row r="13" customFormat="false" ht="25.35" hidden="false" customHeight="false" outlineLevel="0" collapsed="false">
      <c r="A13" s="7" t="s">
        <v>44</v>
      </c>
      <c r="B13" s="7" t="s">
        <v>142</v>
      </c>
      <c r="C13" s="7" t="s">
        <v>143</v>
      </c>
      <c r="D13" s="7" t="n">
        <v>3000</v>
      </c>
      <c r="E13" s="7" t="n">
        <v>6000</v>
      </c>
      <c r="F13" s="8" t="n">
        <f aca="false">IFERROR(ROUND(AVERAGE(D13:E13),-1),"")</f>
        <v>4500</v>
      </c>
      <c r="G13" s="7"/>
    </row>
    <row r="14" customFormat="false" ht="15" hidden="false" customHeight="false" outlineLevel="0" collapsed="false">
      <c r="A14" s="9" t="s">
        <v>44</v>
      </c>
      <c r="B14" s="9" t="s">
        <v>144</v>
      </c>
      <c r="C14" s="9" t="s">
        <v>145</v>
      </c>
      <c r="D14" s="9" t="n">
        <v>1500</v>
      </c>
      <c r="E14" s="9" t="n">
        <v>3000</v>
      </c>
      <c r="F14" s="10" t="n">
        <f aca="false">IFERROR(ROUND(AVERAGE(D14:E14),-1),"")</f>
        <v>2250</v>
      </c>
      <c r="G14" s="9"/>
    </row>
    <row r="15" customFormat="false" ht="15" hidden="false" customHeight="false" outlineLevel="0" collapsed="false">
      <c r="A15" s="7" t="s">
        <v>44</v>
      </c>
      <c r="B15" s="7" t="s">
        <v>146</v>
      </c>
      <c r="C15" s="7" t="s">
        <v>64</v>
      </c>
      <c r="D15" s="7" t="n">
        <v>2000</v>
      </c>
      <c r="E15" s="7" t="n">
        <v>4000</v>
      </c>
      <c r="F15" s="8" t="n">
        <f aca="false">IFERROR(ROUND(AVERAGE(D15:E15),-1),"")</f>
        <v>3000</v>
      </c>
      <c r="G15" s="7"/>
    </row>
    <row r="16" customFormat="false" ht="25.35" hidden="false" customHeight="false" outlineLevel="0" collapsed="false">
      <c r="A16" s="9" t="s">
        <v>44</v>
      </c>
      <c r="B16" s="9" t="s">
        <v>147</v>
      </c>
      <c r="C16" s="9" t="s">
        <v>148</v>
      </c>
      <c r="D16" s="9" t="n">
        <v>1500</v>
      </c>
      <c r="E16" s="9" t="n">
        <v>3000</v>
      </c>
      <c r="F16" s="10" t="n">
        <f aca="false">IFERROR(ROUND(AVERAGE(D16:E16),-1),"")</f>
        <v>2250</v>
      </c>
      <c r="G16" s="9"/>
    </row>
    <row r="17" customFormat="false" ht="15" hidden="false" customHeight="false" outlineLevel="0" collapsed="false">
      <c r="A17" s="7" t="s">
        <v>44</v>
      </c>
      <c r="B17" s="7" t="s">
        <v>149</v>
      </c>
      <c r="C17" s="7" t="s">
        <v>150</v>
      </c>
      <c r="D17" s="7" t="n">
        <v>500</v>
      </c>
      <c r="E17" s="7" t="n">
        <v>1000</v>
      </c>
      <c r="F17" s="8" t="n">
        <f aca="false">IFERROR(ROUND(AVERAGE(D17:E17),-1),"")</f>
        <v>750</v>
      </c>
      <c r="G17" s="7"/>
    </row>
    <row r="18" customFormat="false" ht="15" hidden="false" customHeight="false" outlineLevel="0" collapsed="false">
      <c r="A18" s="9" t="s">
        <v>44</v>
      </c>
      <c r="B18" s="9" t="s">
        <v>151</v>
      </c>
      <c r="C18" s="9" t="s">
        <v>152</v>
      </c>
      <c r="D18" s="9" t="n">
        <v>2000</v>
      </c>
      <c r="E18" s="9" t="n">
        <v>4000</v>
      </c>
      <c r="F18" s="10" t="n">
        <f aca="false">IFERROR(ROUND(AVERAGE(D18:E18),-1),"")</f>
        <v>3000</v>
      </c>
      <c r="G18" s="9"/>
    </row>
    <row r="19" customFormat="false" ht="15" hidden="false" customHeight="false" outlineLevel="0" collapsed="false">
      <c r="A19" s="7" t="s">
        <v>44</v>
      </c>
      <c r="B19" s="7" t="s">
        <v>153</v>
      </c>
      <c r="C19" s="7" t="s">
        <v>154</v>
      </c>
      <c r="D19" s="7" t="n">
        <v>1000</v>
      </c>
      <c r="E19" s="7" t="n">
        <v>2000</v>
      </c>
      <c r="F19" s="8" t="n">
        <f aca="false">IFERROR(ROUND(AVERAGE(D19:E19),-1),"")</f>
        <v>1500</v>
      </c>
      <c r="G19" s="7"/>
    </row>
    <row r="21" customFormat="false" ht="15" hidden="false" customHeight="false" outlineLevel="0" collapsed="false">
      <c r="A21" s="5" t="s">
        <v>65</v>
      </c>
    </row>
    <row r="22" customFormat="false" ht="25.35" hidden="false" customHeight="false" outlineLevel="0" collapsed="false">
      <c r="A22" s="7" t="s">
        <v>66</v>
      </c>
      <c r="B22" s="7" t="s">
        <v>67</v>
      </c>
      <c r="C22" s="7" t="s">
        <v>68</v>
      </c>
      <c r="D22" s="7" t="n">
        <v>800</v>
      </c>
      <c r="E22" s="7" t="n">
        <v>1600</v>
      </c>
      <c r="F22" s="8" t="n">
        <f aca="false">IFERROR(ROUND(AVERAGE(D22:E22),-1),"")</f>
        <v>1200</v>
      </c>
      <c r="G22" s="7"/>
    </row>
    <row r="23" customFormat="false" ht="15" hidden="false" customHeight="false" outlineLevel="0" collapsed="false">
      <c r="A23" s="9" t="s">
        <v>66</v>
      </c>
      <c r="B23" s="9" t="s">
        <v>155</v>
      </c>
      <c r="C23" s="9" t="s">
        <v>74</v>
      </c>
      <c r="D23" s="9" t="n">
        <v>1500</v>
      </c>
      <c r="E23" s="9" t="n">
        <v>3000</v>
      </c>
      <c r="F23" s="10" t="n">
        <f aca="false">IFERROR(ROUND(AVERAGE(D23:E23),-1),"")</f>
        <v>2250</v>
      </c>
      <c r="G23" s="9"/>
    </row>
    <row r="24" customFormat="false" ht="15" hidden="false" customHeight="false" outlineLevel="0" collapsed="false">
      <c r="A24" s="7" t="s">
        <v>66</v>
      </c>
      <c r="B24" s="7" t="s">
        <v>156</v>
      </c>
      <c r="C24" s="7" t="s">
        <v>114</v>
      </c>
      <c r="D24" s="7" t="n">
        <v>500</v>
      </c>
      <c r="E24" s="7" t="n">
        <v>1000</v>
      </c>
      <c r="F24" s="8" t="n">
        <f aca="false">IFERROR(ROUND(AVERAGE(D24:E24),-1),"")</f>
        <v>750</v>
      </c>
      <c r="G24" s="7"/>
    </row>
    <row r="25" customFormat="false" ht="15" hidden="false" customHeight="false" outlineLevel="0" collapsed="false">
      <c r="A25" s="9" t="s">
        <v>66</v>
      </c>
      <c r="B25" s="9" t="s">
        <v>157</v>
      </c>
      <c r="C25" s="9" t="s">
        <v>158</v>
      </c>
      <c r="D25" s="9" t="n">
        <v>2000</v>
      </c>
      <c r="E25" s="9" t="n">
        <v>4000</v>
      </c>
      <c r="F25" s="10" t="n">
        <f aca="false">IFERROR(ROUND(AVERAGE(D25:E25),-1),"")</f>
        <v>3000</v>
      </c>
      <c r="G25" s="9"/>
    </row>
    <row r="27" customFormat="false" ht="15" hidden="false" customHeight="false" outlineLevel="0" collapsed="false">
      <c r="A27" s="5" t="s">
        <v>75</v>
      </c>
    </row>
    <row r="28" customFormat="false" ht="25.35" hidden="false" customHeight="false" outlineLevel="0" collapsed="false">
      <c r="A28" s="7" t="s">
        <v>76</v>
      </c>
      <c r="B28" s="7" t="s">
        <v>77</v>
      </c>
      <c r="C28" s="7" t="s">
        <v>78</v>
      </c>
      <c r="D28" s="7" t="n">
        <v>500</v>
      </c>
      <c r="E28" s="7" t="n">
        <v>800</v>
      </c>
      <c r="F28" s="8" t="n">
        <f aca="false">IFERROR(ROUND(AVERAGE(D28:E28),-1),"")</f>
        <v>650</v>
      </c>
      <c r="G28" s="7" t="s">
        <v>79</v>
      </c>
    </row>
    <row r="29" customFormat="false" ht="15" hidden="false" customHeight="false" outlineLevel="0" collapsed="false">
      <c r="A29" s="9" t="s">
        <v>76</v>
      </c>
      <c r="B29" s="9" t="s">
        <v>80</v>
      </c>
      <c r="C29" s="9" t="s">
        <v>159</v>
      </c>
      <c r="D29" s="9" t="n">
        <v>1000</v>
      </c>
      <c r="E29" s="9" t="n">
        <v>1500</v>
      </c>
      <c r="F29" s="10" t="n">
        <f aca="false">IFERROR(ROUND(AVERAGE(D29:E29),-1),"")</f>
        <v>1250</v>
      </c>
      <c r="G29" s="9" t="s">
        <v>79</v>
      </c>
    </row>
    <row r="30" customFormat="false" ht="25.35" hidden="false" customHeight="false" outlineLevel="0" collapsed="false">
      <c r="A30" s="7" t="s">
        <v>76</v>
      </c>
      <c r="B30" s="7" t="s">
        <v>82</v>
      </c>
      <c r="C30" s="7" t="s">
        <v>83</v>
      </c>
      <c r="D30" s="7" t="n">
        <v>2000</v>
      </c>
      <c r="E30" s="7" t="n">
        <v>3000</v>
      </c>
      <c r="F30" s="8" t="n">
        <f aca="false">IFERROR(ROUND(AVERAGE(D30:E30),-1),"")</f>
        <v>2500</v>
      </c>
      <c r="G30" s="7" t="s">
        <v>79</v>
      </c>
    </row>
    <row r="32" customFormat="false" ht="30" hidden="false" customHeight="true" outlineLevel="0" collapsed="false">
      <c r="A32" s="11" t="s">
        <v>160</v>
      </c>
      <c r="B32" s="11"/>
      <c r="C32" s="11"/>
      <c r="D32" s="11"/>
      <c r="E32" s="11"/>
      <c r="F32" s="11"/>
      <c r="G32" s="11"/>
    </row>
    <row r="34" customFormat="false" ht="15" hidden="false" customHeight="false" outlineLevel="0" collapsed="false">
      <c r="A34" s="12" t="s">
        <v>161</v>
      </c>
      <c r="B34" s="12"/>
      <c r="C34" s="12"/>
      <c r="D34" s="12"/>
      <c r="E34" s="12"/>
      <c r="F34" s="12"/>
    </row>
    <row r="35" customFormat="false" ht="15" hidden="false" customHeight="true" outlineLevel="0" collapsed="false">
      <c r="A35" s="13" t="s">
        <v>86</v>
      </c>
      <c r="B35" s="13"/>
      <c r="C35" s="13"/>
      <c r="D35" s="14" t="n">
        <f aca="false">F6+F13+F22</f>
        <v>19700</v>
      </c>
    </row>
    <row r="36" customFormat="false" ht="15" hidden="false" customHeight="true" outlineLevel="0" collapsed="false">
      <c r="A36" s="13" t="s">
        <v>87</v>
      </c>
      <c r="B36" s="13"/>
      <c r="C36" s="13"/>
      <c r="D36" s="14" t="n">
        <f aca="false">D35*(1+0.12)</f>
        <v>22064</v>
      </c>
    </row>
    <row r="37" customFormat="false" ht="15" hidden="false" customHeight="true" outlineLevel="0" collapsed="false">
      <c r="A37" s="13" t="s">
        <v>88</v>
      </c>
      <c r="B37" s="13"/>
      <c r="C37" s="13"/>
      <c r="D37" s="14" t="n">
        <f aca="false">D36*(1+0.25)</f>
        <v>27580</v>
      </c>
    </row>
  </sheetData>
  <mergeCells count="7">
    <mergeCell ref="A1:G1"/>
    <mergeCell ref="A2:G2"/>
    <mergeCell ref="A32:G32"/>
    <mergeCell ref="A34:F34"/>
    <mergeCell ref="A35:C35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162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90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5" t="s">
        <v>163</v>
      </c>
    </row>
    <row r="5" customFormat="false" ht="26.85" hidden="false" customHeight="false" outlineLevel="0" collapsed="false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</row>
    <row r="6" customFormat="false" ht="25.35" hidden="false" customHeight="false" outlineLevel="0" collapsed="false">
      <c r="A6" s="7" t="s">
        <v>127</v>
      </c>
      <c r="B6" s="7" t="s">
        <v>164</v>
      </c>
      <c r="C6" s="7" t="s">
        <v>165</v>
      </c>
      <c r="D6" s="7" t="n">
        <v>2500</v>
      </c>
      <c r="E6" s="7" t="n">
        <v>4500</v>
      </c>
      <c r="F6" s="8" t="n">
        <f aca="false">IFERROR(ROUND(AVERAGE(D6:E6),-1),"")</f>
        <v>3500</v>
      </c>
      <c r="G6" s="7" t="s">
        <v>166</v>
      </c>
    </row>
    <row r="7" customFormat="false" ht="15" hidden="false" customHeight="false" outlineLevel="0" collapsed="false">
      <c r="A7" s="9" t="s">
        <v>127</v>
      </c>
      <c r="B7" s="9" t="s">
        <v>167</v>
      </c>
      <c r="C7" s="9" t="s">
        <v>103</v>
      </c>
      <c r="D7" s="9" t="n">
        <v>2000</v>
      </c>
      <c r="E7" s="9" t="n">
        <v>4000</v>
      </c>
      <c r="F7" s="10" t="n">
        <f aca="false">IFERROR(ROUND(AVERAGE(D7:E7),-1),"")</f>
        <v>3000</v>
      </c>
      <c r="G7" s="9"/>
    </row>
    <row r="8" customFormat="false" ht="15" hidden="false" customHeight="false" outlineLevel="0" collapsed="false">
      <c r="A8" s="7" t="s">
        <v>127</v>
      </c>
      <c r="B8" s="7" t="s">
        <v>168</v>
      </c>
      <c r="C8" s="7" t="s">
        <v>103</v>
      </c>
      <c r="D8" s="7" t="n">
        <v>2500</v>
      </c>
      <c r="E8" s="7" t="n">
        <v>4500</v>
      </c>
      <c r="F8" s="8" t="n">
        <f aca="false">IFERROR(ROUND(AVERAGE(D8:E8),-1),"")</f>
        <v>3500</v>
      </c>
      <c r="G8" s="7"/>
    </row>
    <row r="9" customFormat="false" ht="15" hidden="false" customHeight="false" outlineLevel="0" collapsed="false">
      <c r="A9" s="9" t="s">
        <v>127</v>
      </c>
      <c r="B9" s="9" t="s">
        <v>169</v>
      </c>
      <c r="C9" s="9" t="s">
        <v>103</v>
      </c>
      <c r="D9" s="9" t="n">
        <v>3000</v>
      </c>
      <c r="E9" s="9" t="n">
        <v>6000</v>
      </c>
      <c r="F9" s="10" t="n">
        <f aca="false">IFERROR(ROUND(AVERAGE(D9:E9),-1),"")</f>
        <v>4500</v>
      </c>
      <c r="G9" s="9" t="s">
        <v>170</v>
      </c>
    </row>
    <row r="10" customFormat="false" ht="15" hidden="false" customHeight="false" outlineLevel="0" collapsed="false">
      <c r="A10" s="7" t="s">
        <v>127</v>
      </c>
      <c r="B10" s="7" t="s">
        <v>171</v>
      </c>
      <c r="C10" s="7" t="s">
        <v>138</v>
      </c>
      <c r="D10" s="7"/>
      <c r="E10" s="7"/>
      <c r="F10" s="7" t="s">
        <v>139</v>
      </c>
      <c r="G10" s="7" t="s">
        <v>139</v>
      </c>
    </row>
    <row r="12" customFormat="false" ht="15" hidden="false" customHeight="false" outlineLevel="0" collapsed="false">
      <c r="A12" s="5" t="s">
        <v>141</v>
      </c>
    </row>
    <row r="13" customFormat="false" ht="15" hidden="false" customHeight="false" outlineLevel="0" collapsed="false">
      <c r="A13" s="7" t="s">
        <v>44</v>
      </c>
      <c r="B13" s="7" t="s">
        <v>172</v>
      </c>
      <c r="C13" s="7" t="s">
        <v>173</v>
      </c>
      <c r="D13" s="7" t="n">
        <v>500</v>
      </c>
      <c r="E13" s="7" t="n">
        <v>1000</v>
      </c>
      <c r="F13" s="8" t="n">
        <f aca="false">IFERROR(ROUND(AVERAGE(D13:E13),-1),"")</f>
        <v>750</v>
      </c>
      <c r="G13" s="7"/>
    </row>
    <row r="14" customFormat="false" ht="15" hidden="false" customHeight="false" outlineLevel="0" collapsed="false">
      <c r="A14" s="9" t="s">
        <v>44</v>
      </c>
      <c r="B14" s="9" t="s">
        <v>174</v>
      </c>
      <c r="C14" s="9" t="s">
        <v>106</v>
      </c>
      <c r="D14" s="9" t="n">
        <v>500</v>
      </c>
      <c r="E14" s="9" t="n">
        <v>1000</v>
      </c>
      <c r="F14" s="10" t="n">
        <f aca="false">IFERROR(ROUND(AVERAGE(D14:E14),-1),"")</f>
        <v>750</v>
      </c>
      <c r="G14" s="9"/>
    </row>
    <row r="15" customFormat="false" ht="25.35" hidden="false" customHeight="false" outlineLevel="0" collapsed="false">
      <c r="A15" s="7" t="s">
        <v>44</v>
      </c>
      <c r="B15" s="7" t="s">
        <v>175</v>
      </c>
      <c r="C15" s="7" t="s">
        <v>176</v>
      </c>
      <c r="D15" s="7" t="n">
        <v>500</v>
      </c>
      <c r="E15" s="7" t="n">
        <v>1000</v>
      </c>
      <c r="F15" s="8" t="n">
        <f aca="false">IFERROR(ROUND(AVERAGE(D15:E15),-1),"")</f>
        <v>750</v>
      </c>
      <c r="G15" s="7"/>
    </row>
    <row r="16" customFormat="false" ht="15" hidden="false" customHeight="false" outlineLevel="0" collapsed="false">
      <c r="A16" s="9" t="s">
        <v>44</v>
      </c>
      <c r="B16" s="9" t="s">
        <v>109</v>
      </c>
      <c r="C16" s="9" t="s">
        <v>54</v>
      </c>
      <c r="D16" s="9" t="n">
        <v>200</v>
      </c>
      <c r="E16" s="9" t="n">
        <v>400</v>
      </c>
      <c r="F16" s="10" t="n">
        <f aca="false">IFERROR(ROUND(AVERAGE(D16:E16),-1),"")</f>
        <v>300</v>
      </c>
      <c r="G16" s="9"/>
    </row>
    <row r="18" customFormat="false" ht="15" hidden="false" customHeight="false" outlineLevel="0" collapsed="false">
      <c r="A18" s="5" t="s">
        <v>177</v>
      </c>
    </row>
    <row r="19" customFormat="false" ht="15" hidden="false" customHeight="false" outlineLevel="0" collapsed="false">
      <c r="A19" s="7" t="s">
        <v>66</v>
      </c>
      <c r="B19" s="7" t="s">
        <v>111</v>
      </c>
      <c r="C19" s="7" t="s">
        <v>112</v>
      </c>
      <c r="D19" s="7" t="n">
        <v>400</v>
      </c>
      <c r="E19" s="7" t="n">
        <v>800</v>
      </c>
      <c r="F19" s="8" t="n">
        <f aca="false">IFERROR(ROUND(AVERAGE(D19:E19),-1),"")</f>
        <v>600</v>
      </c>
      <c r="G19" s="7"/>
    </row>
    <row r="20" customFormat="false" ht="15" hidden="false" customHeight="false" outlineLevel="0" collapsed="false">
      <c r="A20" s="9" t="s">
        <v>66</v>
      </c>
      <c r="B20" s="9" t="s">
        <v>178</v>
      </c>
      <c r="C20" s="9" t="s">
        <v>114</v>
      </c>
      <c r="D20" s="9" t="n">
        <v>300</v>
      </c>
      <c r="E20" s="9" t="n">
        <v>600</v>
      </c>
      <c r="F20" s="10" t="n">
        <f aca="false">IFERROR(ROUND(AVERAGE(D20:E20),-1),"")</f>
        <v>450</v>
      </c>
      <c r="G20" s="9"/>
    </row>
    <row r="22" customFormat="false" ht="15" hidden="false" customHeight="false" outlineLevel="0" collapsed="false">
      <c r="A22" s="5" t="s">
        <v>115</v>
      </c>
    </row>
    <row r="23" customFormat="false" ht="25.35" hidden="false" customHeight="false" outlineLevel="0" collapsed="false">
      <c r="A23" s="7" t="s">
        <v>116</v>
      </c>
      <c r="B23" s="7" t="s">
        <v>117</v>
      </c>
      <c r="C23" s="7" t="s">
        <v>42</v>
      </c>
      <c r="D23" s="7" t="n">
        <v>300</v>
      </c>
      <c r="E23" s="7" t="n">
        <v>600</v>
      </c>
      <c r="F23" s="8" t="n">
        <f aca="false">IFERROR(ROUND(AVERAGE(D23:E23),-1),"")</f>
        <v>450</v>
      </c>
      <c r="G23" s="7" t="s">
        <v>118</v>
      </c>
    </row>
    <row r="24" customFormat="false" ht="15" hidden="false" customHeight="false" outlineLevel="0" collapsed="false">
      <c r="A24" s="9" t="s">
        <v>116</v>
      </c>
      <c r="B24" s="9" t="s">
        <v>119</v>
      </c>
      <c r="C24" s="9" t="s">
        <v>42</v>
      </c>
      <c r="D24" s="9" t="n">
        <v>200</v>
      </c>
      <c r="E24" s="9" t="n">
        <v>400</v>
      </c>
      <c r="F24" s="10" t="n">
        <f aca="false">IFERROR(ROUND(AVERAGE(D24:E24),-1),"")</f>
        <v>300</v>
      </c>
      <c r="G24" s="9"/>
    </row>
    <row r="26" customFormat="false" ht="30" hidden="false" customHeight="true" outlineLevel="0" collapsed="false">
      <c r="A26" s="15" t="s">
        <v>179</v>
      </c>
      <c r="B26" s="15"/>
      <c r="C26" s="15"/>
      <c r="D26" s="15"/>
      <c r="E26" s="15"/>
      <c r="F26" s="15"/>
      <c r="G26" s="15"/>
    </row>
    <row r="28" customFormat="false" ht="15" hidden="false" customHeight="false" outlineLevel="0" collapsed="false">
      <c r="A28" s="12" t="s">
        <v>180</v>
      </c>
      <c r="B28" s="12"/>
      <c r="C28" s="12"/>
      <c r="D28" s="12"/>
      <c r="E28" s="12"/>
      <c r="F28" s="12"/>
    </row>
    <row r="29" customFormat="false" ht="15" hidden="false" customHeight="true" outlineLevel="0" collapsed="false">
      <c r="A29" s="13" t="s">
        <v>86</v>
      </c>
      <c r="B29" s="13"/>
      <c r="C29" s="13"/>
      <c r="D29" s="14" t="n">
        <f aca="false">F6+F13</f>
        <v>4250</v>
      </c>
    </row>
    <row r="30" customFormat="false" ht="15" hidden="false" customHeight="true" outlineLevel="0" collapsed="false">
      <c r="A30" s="13" t="s">
        <v>87</v>
      </c>
      <c r="B30" s="13"/>
      <c r="C30" s="13"/>
      <c r="D30" s="14" t="n">
        <f aca="false">D29*(1+0.12)</f>
        <v>4760</v>
      </c>
    </row>
    <row r="31" customFormat="false" ht="15" hidden="false" customHeight="true" outlineLevel="0" collapsed="false">
      <c r="A31" s="13" t="s">
        <v>123</v>
      </c>
      <c r="B31" s="13"/>
      <c r="C31" s="13"/>
      <c r="D31" s="14" t="n">
        <f aca="false">D30*(1+0.3)</f>
        <v>6188</v>
      </c>
    </row>
  </sheetData>
  <mergeCells count="7">
    <mergeCell ref="A1:G1"/>
    <mergeCell ref="A2:G2"/>
    <mergeCell ref="A26:G26"/>
    <mergeCell ref="A28:F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181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182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5" t="s">
        <v>183</v>
      </c>
    </row>
    <row r="5" customFormat="false" ht="26.85" hidden="false" customHeight="false" outlineLevel="0" collapsed="false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</row>
    <row r="6" customFormat="false" ht="25.35" hidden="false" customHeight="false" outlineLevel="0" collapsed="false">
      <c r="A6" s="7" t="s">
        <v>23</v>
      </c>
      <c r="B6" s="7" t="s">
        <v>184</v>
      </c>
      <c r="C6" s="7" t="s">
        <v>185</v>
      </c>
      <c r="D6" s="7" t="n">
        <v>8000</v>
      </c>
      <c r="E6" s="7" t="n">
        <v>15000</v>
      </c>
      <c r="F6" s="8" t="n">
        <f aca="false">IFERROR(ROUND(AVERAGE(D6:E6),-1),"")</f>
        <v>11500</v>
      </c>
      <c r="G6" s="7" t="s">
        <v>186</v>
      </c>
    </row>
    <row r="7" customFormat="false" ht="25.35" hidden="false" customHeight="false" outlineLevel="0" collapsed="false">
      <c r="A7" s="9" t="s">
        <v>23</v>
      </c>
      <c r="B7" s="9" t="s">
        <v>187</v>
      </c>
      <c r="C7" s="9" t="s">
        <v>188</v>
      </c>
      <c r="D7" s="9" t="n">
        <v>15000</v>
      </c>
      <c r="E7" s="9" t="n">
        <v>30000</v>
      </c>
      <c r="F7" s="10" t="n">
        <f aca="false">IFERROR(ROUND(AVERAGE(D7:E7),-1),"")</f>
        <v>22500</v>
      </c>
      <c r="G7" s="9" t="s">
        <v>189</v>
      </c>
    </row>
    <row r="9" customFormat="false" ht="15" hidden="false" customHeight="false" outlineLevel="0" collapsed="false">
      <c r="A9" s="5" t="s">
        <v>141</v>
      </c>
    </row>
    <row r="10" customFormat="false" ht="15" hidden="false" customHeight="false" outlineLevel="0" collapsed="false">
      <c r="A10" s="7" t="s">
        <v>44</v>
      </c>
      <c r="B10" s="7" t="s">
        <v>190</v>
      </c>
      <c r="C10" s="7" t="s">
        <v>191</v>
      </c>
      <c r="D10" s="7" t="n">
        <v>1000</v>
      </c>
      <c r="E10" s="7" t="n">
        <v>2000</v>
      </c>
      <c r="F10" s="8" t="n">
        <f aca="false">IFERROR(ROUND(AVERAGE(D10:E10),-1),"")</f>
        <v>1500</v>
      </c>
      <c r="G10" s="7"/>
    </row>
    <row r="11" customFormat="false" ht="15" hidden="false" customHeight="false" outlineLevel="0" collapsed="false">
      <c r="A11" s="9" t="s">
        <v>44</v>
      </c>
      <c r="B11" s="9" t="s">
        <v>192</v>
      </c>
      <c r="C11" s="9" t="s">
        <v>193</v>
      </c>
      <c r="D11" s="9" t="n">
        <v>1500</v>
      </c>
      <c r="E11" s="9" t="n">
        <v>3000</v>
      </c>
      <c r="F11" s="10" t="n">
        <f aca="false">IFERROR(ROUND(AVERAGE(D11:E11),-1),"")</f>
        <v>2250</v>
      </c>
      <c r="G11" s="9"/>
    </row>
    <row r="12" customFormat="false" ht="15" hidden="false" customHeight="false" outlineLevel="0" collapsed="false">
      <c r="A12" s="7" t="s">
        <v>44</v>
      </c>
      <c r="B12" s="7" t="s">
        <v>194</v>
      </c>
      <c r="C12" s="7" t="s">
        <v>195</v>
      </c>
      <c r="D12" s="7" t="n">
        <v>1500</v>
      </c>
      <c r="E12" s="7" t="n">
        <v>3000</v>
      </c>
      <c r="F12" s="8" t="n">
        <f aca="false">IFERROR(ROUND(AVERAGE(D12:E12),-1),"")</f>
        <v>2250</v>
      </c>
      <c r="G12" s="7"/>
    </row>
    <row r="13" customFormat="false" ht="15" hidden="false" customHeight="false" outlineLevel="0" collapsed="false">
      <c r="A13" s="9" t="s">
        <v>44</v>
      </c>
      <c r="B13" s="9" t="s">
        <v>196</v>
      </c>
      <c r="C13" s="9" t="s">
        <v>197</v>
      </c>
      <c r="D13" s="9" t="n">
        <v>800</v>
      </c>
      <c r="E13" s="9" t="n">
        <v>1500</v>
      </c>
      <c r="F13" s="10" t="n">
        <f aca="false">IFERROR(ROUND(AVERAGE(D13:E13),-1),"")</f>
        <v>1150</v>
      </c>
      <c r="G13" s="9"/>
    </row>
    <row r="14" customFormat="false" ht="15" hidden="false" customHeight="false" outlineLevel="0" collapsed="false">
      <c r="A14" s="7" t="s">
        <v>44</v>
      </c>
      <c r="B14" s="7" t="s">
        <v>198</v>
      </c>
      <c r="C14" s="7" t="s">
        <v>199</v>
      </c>
      <c r="D14" s="7" t="n">
        <v>2000</v>
      </c>
      <c r="E14" s="7" t="n">
        <v>4000</v>
      </c>
      <c r="F14" s="8" t="n">
        <f aca="false">IFERROR(ROUND(AVERAGE(D14:E14),-1),"")</f>
        <v>3000</v>
      </c>
      <c r="G14" s="7"/>
    </row>
    <row r="15" customFormat="false" ht="15" hidden="false" customHeight="false" outlineLevel="0" collapsed="false">
      <c r="A15" s="9" t="s">
        <v>44</v>
      </c>
      <c r="B15" s="9" t="s">
        <v>200</v>
      </c>
      <c r="C15" s="9" t="s">
        <v>68</v>
      </c>
      <c r="D15" s="9" t="n">
        <v>1500</v>
      </c>
      <c r="E15" s="9" t="n">
        <v>3000</v>
      </c>
      <c r="F15" s="10" t="n">
        <f aca="false">IFERROR(ROUND(AVERAGE(D15:E15),-1),"")</f>
        <v>2250</v>
      </c>
      <c r="G15" s="9"/>
    </row>
    <row r="16" customFormat="false" ht="15" hidden="false" customHeight="false" outlineLevel="0" collapsed="false">
      <c r="A16" s="7" t="s">
        <v>44</v>
      </c>
      <c r="B16" s="7" t="s">
        <v>201</v>
      </c>
      <c r="C16" s="7" t="s">
        <v>103</v>
      </c>
      <c r="D16" s="7" t="n">
        <v>2500</v>
      </c>
      <c r="E16" s="7" t="n">
        <v>5000</v>
      </c>
      <c r="F16" s="8" t="n">
        <f aca="false">IFERROR(ROUND(AVERAGE(D16:E16),-1),"")</f>
        <v>3750</v>
      </c>
      <c r="G16" s="7"/>
    </row>
    <row r="18" customFormat="false" ht="15" hidden="false" customHeight="false" outlineLevel="0" collapsed="false">
      <c r="A18" s="5" t="s">
        <v>65</v>
      </c>
    </row>
    <row r="19" customFormat="false" ht="15" hidden="false" customHeight="false" outlineLevel="0" collapsed="false">
      <c r="A19" s="7" t="s">
        <v>66</v>
      </c>
      <c r="B19" s="7" t="s">
        <v>202</v>
      </c>
      <c r="C19" s="7" t="s">
        <v>68</v>
      </c>
      <c r="D19" s="7" t="n">
        <v>800</v>
      </c>
      <c r="E19" s="7" t="n">
        <v>1600</v>
      </c>
      <c r="F19" s="8" t="n">
        <f aca="false">IFERROR(ROUND(AVERAGE(D19:E19),-1),"")</f>
        <v>1200</v>
      </c>
      <c r="G19" s="7"/>
    </row>
    <row r="20" customFormat="false" ht="15" hidden="false" customHeight="false" outlineLevel="0" collapsed="false">
      <c r="A20" s="9" t="s">
        <v>66</v>
      </c>
      <c r="B20" s="9" t="s">
        <v>113</v>
      </c>
      <c r="C20" s="9" t="s">
        <v>114</v>
      </c>
      <c r="D20" s="9" t="n">
        <v>800</v>
      </c>
      <c r="E20" s="9" t="n">
        <v>2000</v>
      </c>
      <c r="F20" s="10" t="n">
        <f aca="false">IFERROR(ROUND(AVERAGE(D20:E20),-1),"")</f>
        <v>1400</v>
      </c>
      <c r="G20" s="9"/>
    </row>
    <row r="21" customFormat="false" ht="15" hidden="false" customHeight="false" outlineLevel="0" collapsed="false">
      <c r="A21" s="7" t="s">
        <v>66</v>
      </c>
      <c r="B21" s="7" t="s">
        <v>203</v>
      </c>
      <c r="C21" s="7" t="s">
        <v>191</v>
      </c>
      <c r="D21" s="7" t="n">
        <v>500</v>
      </c>
      <c r="E21" s="7" t="n">
        <v>1000</v>
      </c>
      <c r="F21" s="8" t="n">
        <f aca="false">IFERROR(ROUND(AVERAGE(D21:E21),-1),"")</f>
        <v>750</v>
      </c>
      <c r="G21" s="7"/>
    </row>
    <row r="23" customFormat="false" ht="15" hidden="false" customHeight="false" outlineLevel="0" collapsed="false">
      <c r="A23" s="5" t="s">
        <v>204</v>
      </c>
    </row>
    <row r="24" customFormat="false" ht="25.35" hidden="false" customHeight="false" outlineLevel="0" collapsed="false">
      <c r="A24" s="7" t="s">
        <v>205</v>
      </c>
      <c r="B24" s="7" t="s">
        <v>206</v>
      </c>
      <c r="C24" s="7" t="s">
        <v>207</v>
      </c>
      <c r="D24" s="7" t="n">
        <v>0</v>
      </c>
      <c r="E24" s="7" t="n">
        <v>0</v>
      </c>
      <c r="F24" s="7" t="s">
        <v>208</v>
      </c>
      <c r="G24" s="7" t="s">
        <v>209</v>
      </c>
    </row>
    <row r="25" customFormat="false" ht="25.35" hidden="false" customHeight="false" outlineLevel="0" collapsed="false">
      <c r="A25" s="9" t="s">
        <v>205</v>
      </c>
      <c r="B25" s="9" t="s">
        <v>210</v>
      </c>
      <c r="C25" s="9" t="s">
        <v>211</v>
      </c>
      <c r="D25" s="9" t="n">
        <v>0</v>
      </c>
      <c r="E25" s="9" t="n">
        <v>0</v>
      </c>
      <c r="F25" s="9" t="s">
        <v>208</v>
      </c>
      <c r="G25" s="9" t="s">
        <v>212</v>
      </c>
    </row>
    <row r="27" customFormat="false" ht="15" hidden="false" customHeight="false" outlineLevel="0" collapsed="false">
      <c r="A27" s="5" t="s">
        <v>75</v>
      </c>
    </row>
    <row r="28" customFormat="false" ht="15" hidden="false" customHeight="false" outlineLevel="0" collapsed="false">
      <c r="A28" s="7" t="s">
        <v>76</v>
      </c>
      <c r="B28" s="7" t="s">
        <v>213</v>
      </c>
      <c r="C28" s="7" t="s">
        <v>214</v>
      </c>
      <c r="D28" s="7" t="n">
        <v>400</v>
      </c>
      <c r="E28" s="7" t="n">
        <v>800</v>
      </c>
      <c r="F28" s="8" t="n">
        <f aca="false">IFERROR(ROUND(AVERAGE(D28:E28),-1),"")</f>
        <v>600</v>
      </c>
      <c r="G28" s="7" t="s">
        <v>215</v>
      </c>
    </row>
    <row r="30" customFormat="false" ht="30" hidden="false" customHeight="true" outlineLevel="0" collapsed="false">
      <c r="A30" s="11" t="s">
        <v>216</v>
      </c>
      <c r="B30" s="11"/>
      <c r="C30" s="11"/>
      <c r="D30" s="11"/>
      <c r="E30" s="11"/>
      <c r="F30" s="11"/>
      <c r="G30" s="11"/>
    </row>
    <row r="32" customFormat="false" ht="15" hidden="false" customHeight="false" outlineLevel="0" collapsed="false">
      <c r="A32" s="12" t="s">
        <v>217</v>
      </c>
      <c r="B32" s="12"/>
      <c r="C32" s="12"/>
      <c r="D32" s="12"/>
      <c r="E32" s="12"/>
      <c r="F32" s="12"/>
    </row>
    <row r="33" customFormat="false" ht="15" hidden="false" customHeight="true" outlineLevel="0" collapsed="false">
      <c r="A33" s="13" t="s">
        <v>86</v>
      </c>
      <c r="B33" s="13"/>
      <c r="C33" s="13"/>
      <c r="D33" s="14" t="n">
        <f aca="false">F7+F10+F15</f>
        <v>26250</v>
      </c>
    </row>
    <row r="34" customFormat="false" ht="15" hidden="false" customHeight="true" outlineLevel="0" collapsed="false">
      <c r="A34" s="13" t="s">
        <v>87</v>
      </c>
      <c r="B34" s="13"/>
      <c r="C34" s="13"/>
      <c r="D34" s="14" t="n">
        <f aca="false">D33*(1+0.12)</f>
        <v>29400</v>
      </c>
    </row>
    <row r="35" customFormat="false" ht="15" hidden="false" customHeight="true" outlineLevel="0" collapsed="false">
      <c r="A35" s="13" t="s">
        <v>88</v>
      </c>
      <c r="B35" s="13"/>
      <c r="C35" s="13"/>
      <c r="D35" s="14" t="n">
        <f aca="false">D34*(1+0.25)</f>
        <v>36750</v>
      </c>
    </row>
  </sheetData>
  <mergeCells count="7">
    <mergeCell ref="A1:G1"/>
    <mergeCell ref="A2:G2"/>
    <mergeCell ref="A30:G30"/>
    <mergeCell ref="A32:F32"/>
    <mergeCell ref="A33:C33"/>
    <mergeCell ref="A34:C34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218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90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5" t="s">
        <v>183</v>
      </c>
    </row>
    <row r="5" customFormat="false" ht="26.85" hidden="false" customHeight="false" outlineLevel="0" collapsed="false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</row>
    <row r="6" customFormat="false" ht="25.35" hidden="false" customHeight="false" outlineLevel="0" collapsed="false">
      <c r="A6" s="7" t="s">
        <v>23</v>
      </c>
      <c r="B6" s="7" t="s">
        <v>219</v>
      </c>
      <c r="C6" s="7" t="s">
        <v>185</v>
      </c>
      <c r="D6" s="7" t="n">
        <v>3000</v>
      </c>
      <c r="E6" s="7" t="n">
        <v>6000</v>
      </c>
      <c r="F6" s="8" t="n">
        <f aca="false">IFERROR(ROUND(AVERAGE(D6:E6),-1),"")</f>
        <v>4500</v>
      </c>
      <c r="G6" s="7" t="s">
        <v>95</v>
      </c>
    </row>
    <row r="7" customFormat="false" ht="25.35" hidden="false" customHeight="false" outlineLevel="0" collapsed="false">
      <c r="A7" s="9" t="s">
        <v>23</v>
      </c>
      <c r="B7" s="9" t="s">
        <v>220</v>
      </c>
      <c r="C7" s="9" t="s">
        <v>185</v>
      </c>
      <c r="D7" s="9" t="n">
        <v>5000</v>
      </c>
      <c r="E7" s="9" t="n">
        <v>9000</v>
      </c>
      <c r="F7" s="10" t="n">
        <f aca="false">IFERROR(ROUND(AVERAGE(D7:E7),-1),"")</f>
        <v>7000</v>
      </c>
      <c r="G7" s="9"/>
    </row>
    <row r="9" customFormat="false" ht="15" hidden="false" customHeight="false" outlineLevel="0" collapsed="false">
      <c r="A9" s="5" t="s">
        <v>141</v>
      </c>
    </row>
    <row r="10" customFormat="false" ht="15" hidden="false" customHeight="false" outlineLevel="0" collapsed="false">
      <c r="A10" s="7" t="s">
        <v>44</v>
      </c>
      <c r="B10" s="7" t="s">
        <v>101</v>
      </c>
      <c r="C10" s="7" t="s">
        <v>221</v>
      </c>
      <c r="D10" s="7" t="n">
        <v>500</v>
      </c>
      <c r="E10" s="7" t="n">
        <v>900</v>
      </c>
      <c r="F10" s="8" t="n">
        <f aca="false">IFERROR(ROUND(AVERAGE(D10:E10),-1),"")</f>
        <v>700</v>
      </c>
      <c r="G10" s="7"/>
    </row>
    <row r="11" customFormat="false" ht="15" hidden="false" customHeight="false" outlineLevel="0" collapsed="false">
      <c r="A11" s="9" t="s">
        <v>44</v>
      </c>
      <c r="B11" s="9" t="s">
        <v>196</v>
      </c>
      <c r="C11" s="9" t="s">
        <v>222</v>
      </c>
      <c r="D11" s="9" t="n">
        <v>400</v>
      </c>
      <c r="E11" s="9" t="n">
        <v>800</v>
      </c>
      <c r="F11" s="10" t="n">
        <f aca="false">IFERROR(ROUND(AVERAGE(D11:E11),-1),"")</f>
        <v>600</v>
      </c>
      <c r="G11" s="9"/>
    </row>
    <row r="12" customFormat="false" ht="15" hidden="false" customHeight="false" outlineLevel="0" collapsed="false">
      <c r="A12" s="7" t="s">
        <v>44</v>
      </c>
      <c r="B12" s="7" t="s">
        <v>223</v>
      </c>
      <c r="C12" s="7" t="s">
        <v>224</v>
      </c>
      <c r="D12" s="7" t="n">
        <v>600</v>
      </c>
      <c r="E12" s="7" t="n">
        <v>1200</v>
      </c>
      <c r="F12" s="8" t="n">
        <f aca="false">IFERROR(ROUND(AVERAGE(D12:E12),-1),"")</f>
        <v>900</v>
      </c>
      <c r="G12" s="7"/>
    </row>
    <row r="13" customFormat="false" ht="15" hidden="false" customHeight="false" outlineLevel="0" collapsed="false">
      <c r="A13" s="9" t="s">
        <v>44</v>
      </c>
      <c r="B13" s="9" t="s">
        <v>225</v>
      </c>
      <c r="C13" s="9" t="s">
        <v>226</v>
      </c>
      <c r="D13" s="9" t="n">
        <v>500</v>
      </c>
      <c r="E13" s="9" t="n">
        <v>1000</v>
      </c>
      <c r="F13" s="10" t="n">
        <f aca="false">IFERROR(ROUND(AVERAGE(D13:E13),-1),"")</f>
        <v>750</v>
      </c>
      <c r="G13" s="9"/>
    </row>
    <row r="14" customFormat="false" ht="15" hidden="false" customHeight="false" outlineLevel="0" collapsed="false">
      <c r="A14" s="7" t="s">
        <v>44</v>
      </c>
      <c r="B14" s="7" t="s">
        <v>227</v>
      </c>
      <c r="C14" s="7" t="s">
        <v>228</v>
      </c>
      <c r="D14" s="7" t="n">
        <v>800</v>
      </c>
      <c r="E14" s="7" t="n">
        <v>1500</v>
      </c>
      <c r="F14" s="8" t="n">
        <f aca="false">IFERROR(ROUND(AVERAGE(D14:E14),-1),"")</f>
        <v>1150</v>
      </c>
      <c r="G14" s="7"/>
    </row>
    <row r="15" customFormat="false" ht="15" hidden="false" customHeight="false" outlineLevel="0" collapsed="false">
      <c r="A15" s="9" t="s">
        <v>44</v>
      </c>
      <c r="B15" s="9" t="s">
        <v>229</v>
      </c>
      <c r="C15" s="9" t="s">
        <v>230</v>
      </c>
      <c r="D15" s="9" t="n">
        <v>500</v>
      </c>
      <c r="E15" s="9" t="n">
        <v>1000</v>
      </c>
      <c r="F15" s="10" t="n">
        <f aca="false">IFERROR(ROUND(AVERAGE(D15:E15),-1),"")</f>
        <v>750</v>
      </c>
      <c r="G15" s="9"/>
    </row>
    <row r="16" customFormat="false" ht="25.35" hidden="false" customHeight="false" outlineLevel="0" collapsed="false">
      <c r="A16" s="7" t="s">
        <v>44</v>
      </c>
      <c r="B16" s="7" t="s">
        <v>231</v>
      </c>
      <c r="C16" s="7" t="s">
        <v>103</v>
      </c>
      <c r="D16" s="7" t="n">
        <v>1000</v>
      </c>
      <c r="E16" s="7" t="n">
        <v>2000</v>
      </c>
      <c r="F16" s="8" t="n">
        <f aca="false">IFERROR(ROUND(AVERAGE(D16:E16),-1),"")</f>
        <v>1500</v>
      </c>
      <c r="G16" s="7"/>
    </row>
    <row r="18" customFormat="false" ht="15" hidden="false" customHeight="false" outlineLevel="0" collapsed="false">
      <c r="A18" s="5" t="s">
        <v>177</v>
      </c>
    </row>
    <row r="19" customFormat="false" ht="15" hidden="false" customHeight="false" outlineLevel="0" collapsed="false">
      <c r="A19" s="7" t="s">
        <v>66</v>
      </c>
      <c r="B19" s="7" t="s">
        <v>111</v>
      </c>
      <c r="C19" s="7" t="s">
        <v>112</v>
      </c>
      <c r="D19" s="7" t="n">
        <v>400</v>
      </c>
      <c r="E19" s="7" t="n">
        <v>800</v>
      </c>
      <c r="F19" s="8" t="n">
        <f aca="false">IFERROR(ROUND(AVERAGE(D19:E19),-1),"")</f>
        <v>600</v>
      </c>
      <c r="G19" s="7"/>
    </row>
    <row r="21" customFormat="false" ht="15" hidden="false" customHeight="false" outlineLevel="0" collapsed="false">
      <c r="A21" s="5" t="s">
        <v>115</v>
      </c>
    </row>
    <row r="22" customFormat="false" ht="25.35" hidden="false" customHeight="false" outlineLevel="0" collapsed="false">
      <c r="A22" s="7" t="s">
        <v>116</v>
      </c>
      <c r="B22" s="7" t="s">
        <v>232</v>
      </c>
      <c r="C22" s="7" t="s">
        <v>42</v>
      </c>
      <c r="D22" s="7" t="n">
        <v>200</v>
      </c>
      <c r="E22" s="7" t="n">
        <v>400</v>
      </c>
      <c r="F22" s="8" t="n">
        <f aca="false">IFERROR(ROUND(AVERAGE(D22:E22),-1),"")</f>
        <v>300</v>
      </c>
      <c r="G22" s="7" t="s">
        <v>233</v>
      </c>
    </row>
    <row r="23" customFormat="false" ht="25.35" hidden="false" customHeight="false" outlineLevel="0" collapsed="false">
      <c r="A23" s="9" t="s">
        <v>116</v>
      </c>
      <c r="B23" s="9" t="s">
        <v>117</v>
      </c>
      <c r="C23" s="9" t="s">
        <v>42</v>
      </c>
      <c r="D23" s="9" t="n">
        <v>300</v>
      </c>
      <c r="E23" s="9" t="n">
        <v>600</v>
      </c>
      <c r="F23" s="10" t="n">
        <f aca="false">IFERROR(ROUND(AVERAGE(D23:E23),-1),"")</f>
        <v>450</v>
      </c>
      <c r="G23" s="9" t="s">
        <v>118</v>
      </c>
    </row>
    <row r="25" customFormat="false" ht="30" hidden="false" customHeight="true" outlineLevel="0" collapsed="false">
      <c r="A25" s="15" t="s">
        <v>234</v>
      </c>
      <c r="B25" s="15"/>
      <c r="C25" s="15"/>
      <c r="D25" s="15"/>
      <c r="E25" s="15"/>
      <c r="F25" s="15"/>
      <c r="G25" s="15"/>
    </row>
    <row r="27" customFormat="false" ht="15" hidden="false" customHeight="false" outlineLevel="0" collapsed="false">
      <c r="A27" s="12" t="s">
        <v>235</v>
      </c>
      <c r="B27" s="12"/>
      <c r="C27" s="12"/>
      <c r="D27" s="12"/>
      <c r="E27" s="12"/>
      <c r="F27" s="12"/>
    </row>
    <row r="28" customFormat="false" ht="15" hidden="false" customHeight="true" outlineLevel="0" collapsed="false">
      <c r="A28" s="13" t="s">
        <v>86</v>
      </c>
      <c r="B28" s="13"/>
      <c r="C28" s="13"/>
      <c r="D28" s="14" t="n">
        <f aca="false">F6+F10+F11</f>
        <v>5800</v>
      </c>
    </row>
    <row r="29" customFormat="false" ht="15" hidden="false" customHeight="true" outlineLevel="0" collapsed="false">
      <c r="A29" s="13" t="s">
        <v>87</v>
      </c>
      <c r="B29" s="13"/>
      <c r="C29" s="13"/>
      <c r="D29" s="14" t="n">
        <f aca="false">D28*(1+0.12)</f>
        <v>6496</v>
      </c>
    </row>
    <row r="30" customFormat="false" ht="15" hidden="false" customHeight="true" outlineLevel="0" collapsed="false">
      <c r="A30" s="13" t="s">
        <v>123</v>
      </c>
      <c r="B30" s="13"/>
      <c r="C30" s="13"/>
      <c r="D30" s="14" t="n">
        <f aca="false">D29*(1+0.3)</f>
        <v>8444.8</v>
      </c>
    </row>
  </sheetData>
  <mergeCells count="7">
    <mergeCell ref="A1:G1"/>
    <mergeCell ref="A2:G2"/>
    <mergeCell ref="A25:G25"/>
    <mergeCell ref="A27:F27"/>
    <mergeCell ref="A28:C28"/>
    <mergeCell ref="A29:C29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2026-09-18T20:05:33Z</dcterms:created>
  <dc:creator>openpyxl</dc:creator>
  <dc:description/>
  <dc:language>en-US</dc:language>
  <cp:lastModifiedBy/>
  <dcterms:modified xsi:type="dcterms:W3CDTF">2026-09-18T20:05:34Z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